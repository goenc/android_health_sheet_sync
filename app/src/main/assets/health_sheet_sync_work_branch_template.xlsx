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77741a69e842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6aa3fa032094bd7"/>
    <x:sheet xmlns:r="http://schemas.openxmlformats.org/officeDocument/2006/relationships" name="DailySummary" sheetId="2" r:id="R8754074b9a82415c"/>
    <x:sheet xmlns:r="http://schemas.openxmlformats.org/officeDocument/2006/relationships" name="WeightRecords" sheetId="3" r:id="R70961b022ab04f70"/>
    <x:sheet xmlns:r="http://schemas.openxmlformats.org/officeDocument/2006/relationships" name="GlucoseRecords" sheetId="4" r:id="R3b17c8226ad64eaf"/>
    <x:sheet xmlns:r="http://schemas.openxmlformats.org/officeDocument/2006/relationships" name="StepDaily" sheetId="5" r:id="R53f512d98c0f4058"/>
    <x:sheet xmlns:r="http://schemas.openxmlformats.org/officeDocument/2006/relationships" name="SourceApps" sheetId="6" r:id="R1cbd747eb2e44f94"/>
    <x:sheet xmlns:r="http://schemas.openxmlformats.org/officeDocument/2006/relationships" name="DebugLog" sheetId="7" r:id="R08edb689a7a54c5f"/>
    <x:sheet xmlns:r="http://schemas.openxmlformats.org/officeDocument/2006/relationships" name="ColumnSpec" sheetId="8" r:id="R9c2c86a4eb6e40b5"/>
    <x:sheet xmlns:r="http://schemas.openxmlformats.org/officeDocument/2006/relationships" name="Lookups" sheetId="9" r:id="Rb71e4aa2fa7747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:ss"/>
    <x:numFmt numFmtId="201" formatCode="yyyy-mm-dd"/>
    <x:numFmt numFmtId="202" formatCode="0.0"/>
    <x:numFmt numFmtId="203" formatCode="0"/>
  </x:numFmts>
  <x:fonts count="4">
    <x:font>
      <x:sz val="11"/>
      <x:name val="Carlito"/>
    </x:font>
    <x:font>
      <x:b/>
      <x:sz val="16"/>
      <x:color rgb="0F172A"/>
      <x:name val="Carlito"/>
    </x:font>
    <x:font>
      <x:b/>
      <x:sz val="11"/>
      <x:color rgb="0F172A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0F2F1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3" fillId="3" borderId="0" xfId="0" applyNumberFormat="1" applyFont="1" applyFill="1" applyBorder="1" applyAlignment="1">
      <x:alignment horizontal="center" vertical="center"/>
    </x:xf>
    <x:xf numFmtId="200" fontId="3" fillId="3" borderId="1" xfId="0" applyNumberFormat="1" applyFont="1" applyFill="1" applyBorder="1" applyAlignment="1">
      <x:alignment horizontal="center" vertical="center"/>
    </x:xf>
    <x:xf numFmtId="201" fontId="3" fillId="3" borderId="0" xfId="0" applyNumberFormat="1" applyFont="1" applyFill="1" applyBorder="1" applyAlignment="1">
      <x:alignment horizontal="center" vertical="center"/>
    </x:xf>
    <x:xf numFmtId="201" fontId="3" fillId="3" borderId="1" xfId="0" applyNumberFormat="1" applyFont="1" applyFill="1" applyBorder="1" applyAlignment="1">
      <x:alignment horizontal="center" vertical="center"/>
    </x:xf>
    <x:xf numFmtId="202" fontId="3" fillId="3" borderId="0" xfId="0" applyNumberFormat="1" applyFont="1" applyFill="1" applyBorder="1" applyAlignment="1">
      <x:alignment horizontal="center" vertical="center"/>
    </x:xf>
    <x:xf numFmtId="202" fontId="3" fillId="3" borderId="1" xfId="0" applyNumberFormat="1" applyFont="1" applyFill="1" applyBorder="1" applyAlignment="1">
      <x:alignment horizontal="center" vertical="center"/>
    </x:xf>
    <x:xf numFmtId="203" fontId="3" fillId="3" borderId="0" xfId="0" applyNumberFormat="1" applyFont="1" applyFill="1" applyBorder="1" applyAlignment="1">
      <x:alignment horizontal="center" vertical="center"/>
    </x:xf>
    <x:xf numFmtId="203" fontId="3" fillId="3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c3fa930b3c49de" /><Relationship Type="http://schemas.openxmlformats.org/officeDocument/2006/relationships/theme" Target="/xl/theme/theme1.xml" Id="R3d839a27fb0f4e92" /><Relationship Type="http://schemas.openxmlformats.org/officeDocument/2006/relationships/sharedStrings" Target="/xl/sharedStrings.xml" Id="R58c50a9c3c934ecd" /><Relationship Type="http://schemas.openxmlformats.org/officeDocument/2006/relationships/worksheet" Target="/xl/worksheets/sheet1.xml" Id="R36aa3fa032094bd7" /><Relationship Type="http://schemas.openxmlformats.org/officeDocument/2006/relationships/worksheet" Target="/xl/worksheets/sheet2.xml" Id="R8754074b9a82415c" /><Relationship Type="http://schemas.openxmlformats.org/officeDocument/2006/relationships/worksheet" Target="/xl/worksheets/sheet3.xml" Id="R70961b022ab04f70" /><Relationship Type="http://schemas.openxmlformats.org/officeDocument/2006/relationships/worksheet" Target="/xl/worksheets/sheet4.xml" Id="R3b17c8226ad64eaf" /><Relationship Type="http://schemas.openxmlformats.org/officeDocument/2006/relationships/worksheet" Target="/xl/worksheets/sheet5.xml" Id="R53f512d98c0f4058" /><Relationship Type="http://schemas.openxmlformats.org/officeDocument/2006/relationships/worksheet" Target="/xl/worksheets/sheet6.xml" Id="R1cbd747eb2e44f94" /><Relationship Type="http://schemas.openxmlformats.org/officeDocument/2006/relationships/worksheet" Target="/xl/worksheets/sheet7.xml" Id="R08edb689a7a54c5f" /><Relationship Type="http://schemas.openxmlformats.org/officeDocument/2006/relationships/worksheet" Target="/xl/worksheets/sheet8.xml" Id="R9c2c86a4eb6e40b5" /><Relationship Type="http://schemas.openxmlformats.org/officeDocument/2006/relationships/worksheet" Target="/xl/worksheets/sheet9.xml" Id="Rb71e4aa2fa77472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ee50459517d42d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体重・歩数 日次推移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morning_weight_kg</c:v>
          </c:tx>
          <c:cat>
            <c:strRef>
              <c:f>'DailySummary'!$A$2:$A$32</c:f>
              <c:strCache>
                <c:ptCount val="0"/>
              </c:strCache>
            </c:strRef>
          </c:cat>
          <c:val>
            <c:numRef>
              <c:f>'DailySummary'!$B$2:$B$32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night_weight_kg</c:v>
          </c:tx>
          <c:cat>
            <c:strRef>
              <c:f>'DailySummary'!$A$2:$A$32</c:f>
              <c:strCache>
                <c:ptCount val="0"/>
              </c:strCache>
            </c:strRef>
          </c:cat>
          <c:val>
            <c:numRef>
              <c:f>'DailySummary'!$C$2:$C$32</c:f>
              <c:numCache>
                <c:formatCode/>
                <c:ptCount val="0"/>
              </c:numCache>
            </c:numRef>
          </c:val>
          <c:smooth val="0"/>
        </c:ser>
        <c:ser>
          <c:idx val="2"/>
          <c:order val="2"/>
          <c:tx>
            <c:v>latest_weight_kg</c:v>
          </c:tx>
          <c:cat>
            <c:strRef>
              <c:f>'DailySummary'!$A$2:$A$32</c:f>
              <c:strCache>
                <c:ptCount val="0"/>
              </c:strCache>
            </c:strRef>
          </c:cat>
          <c:val>
            <c:numRef>
              <c:f>'DailySummary'!$D$2:$D$32</c:f>
              <c:numCache>
                <c:formatCode/>
                <c:ptCount val="0"/>
              </c:numCache>
            </c:numRef>
          </c:val>
          <c:smooth val="0"/>
        </c:ser>
        <c:ser>
          <c:idx val="3"/>
          <c:order val="3"/>
          <c:tx>
            <c:v>steps</c:v>
          </c:tx>
          <c:cat>
            <c:strRef>
              <c:f>'DailySummary'!$A$2:$A$32</c:f>
              <c:strCache>
                <c:ptCount val="0"/>
              </c:strCache>
            </c:strRef>
          </c:cat>
          <c:val>
            <c:numRef>
              <c:f>'DailySummary'!$E$2:$E$32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14</xdr:col>
      <xdr:colOff>0</xdr:colOff>
      <xdr:row>1</xdr:row>
      <xdr:rowOff>0</xdr:rowOff>
    </xdr:from>
    <xdr:to>
      <xdr:col>24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e50459517d42d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4" name="DailySummaryTable" displayName="DailySummaryTable" ref="A1:M32" headerRowCount="1">
  <x:tableColumns count="13">
    <x:tableColumn id="1" name="target_date"/>
    <x:tableColumn id="2" name="morning_weight_kg"/>
    <x:tableColumn id="3" name="night_weight_kg"/>
    <x:tableColumn id="4" name="latest_weight_kg"/>
    <x:tableColumn id="5" name="steps"/>
    <x:tableColumn id="6" name="fasting_glucose_mg_dl"/>
    <x:tableColumn id="7" name="before_meal_glucose_mg_dl"/>
    <x:tableColumn id="8" name="after_meal_glucose_mg_dl"/>
    <x:tableColumn id="9" name="latest_glucose_mg_dl"/>
    <x:tableColumn id="10" name="weight_source_app"/>
    <x:tableColumn id="11" name="glucose_source_app"/>
    <x:tableColumn id="12" name="row_updated_at"/>
    <x:tableColumn id="13" name="note"/>
  </x:tableColumns>
  <x:tableStyleInfo name="TableStyleMedium2" showRowStripes="1"/>
</x:table>
</file>

<file path=xl/tables/table2.xml><?xml version="1.0" encoding="utf-8"?>
<x:table xmlns:x="http://schemas.openxmlformats.org/spreadsheetml/2006/main" id="1" name="WeightRecordsTable" displayName="WeightRecordsTable" ref="A1:J500" headerRowCount="1">
  <x:tableColumns count="10">
    <x:tableColumn id="1" name="measured_at"/>
    <x:tableColumn id="2" name="target_date"/>
    <x:tableColumn id="3" name="time_band"/>
    <x:tableColumn id="4" name="weight_kg"/>
    <x:tableColumn id="5" name="health_connect_id"/>
    <x:tableColumn id="6" name="source_app_name"/>
    <x:tableColumn id="7" name="source_package_name"/>
    <x:tableColumn id="8" name="overwrite_key"/>
    <x:tableColumn id="9" name="synced_at"/>
    <x:tableColumn id="10" name="note"/>
  </x:tableColumns>
  <x:tableStyleInfo name="TableStyleMedium2" showRowStripes="1"/>
</x:table>
</file>

<file path=xl/tables/table3.xml><?xml version="1.0" encoding="utf-8"?>
<x:table xmlns:x="http://schemas.openxmlformats.org/spreadsheetml/2006/main" id="2" name="GlucoseRecordsTable" displayName="GlucoseRecordsTable" ref="A1:K500" headerRowCount="1">
  <x:tableColumns count="11">
    <x:tableColumn id="1" name="measured_at"/>
    <x:tableColumn id="2" name="target_date"/>
    <x:tableColumn id="3" name="time_band"/>
    <x:tableColumn id="4" name="blood_glucose_mg_dl"/>
    <x:tableColumn id="5" name="meal_relation"/>
    <x:tableColumn id="6" name="health_connect_id"/>
    <x:tableColumn id="7" name="source_app_name"/>
    <x:tableColumn id="8" name="source_package_name"/>
    <x:tableColumn id="9" name="overwrite_key"/>
    <x:tableColumn id="10" name="synced_at"/>
    <x:tableColumn id="11" name="note"/>
  </x:tableColumns>
  <x:tableStyleInfo name="TableStyleMedium2" showRowStripes="1"/>
</x:table>
</file>

<file path=xl/tables/table4.xml><?xml version="1.0" encoding="utf-8"?>
<x:table xmlns:x="http://schemas.openxmlformats.org/spreadsheetml/2006/main" id="3" name="StepDailyTable" displayName="StepDailyTable" ref="A1:G500" headerRowCount="1">
  <x:tableColumns count="7">
    <x:tableColumn id="1" name="target_date"/>
    <x:tableColumn id="2" name="steps"/>
    <x:tableColumn id="3" name="aggregation_start_at"/>
    <x:tableColumn id="4" name="aggregation_end_at"/>
    <x:tableColumn id="5" name="overwrite_key"/>
    <x:tableColumn id="6" name="synced_at"/>
    <x:tableColumn id="7" name="note"/>
  </x:tableColumns>
  <x:tableStyleInfo name="TableStyleMedium2" showRowStripes="1"/>
</x:table>
</file>

<file path=xl/tables/table5.xml><?xml version="1.0" encoding="utf-8"?>
<x:table xmlns:x="http://schemas.openxmlformats.org/spreadsheetml/2006/main" id="5" name="SourceAppsTable" displayName="SourceAppsTable" ref="A1:F200" headerRowCount="1">
  <x:tableColumns count="6">
    <x:tableColumn id="1" name="source_app_name"/>
    <x:tableColumn id="2" name="source_package_name"/>
    <x:tableColumn id="3" name="data_types"/>
    <x:tableColumn id="4" name="first_seen_at"/>
    <x:tableColumn id="5" name="last_seen_at"/>
    <x:tableColumn id="6" name="note"/>
  </x:tableColumns>
  <x:tableStyleInfo name="TableStyleMedium2" showRowStripes="1"/>
</x:table>
</file>

<file path=xl/tables/table6.xml><?xml version="1.0" encoding="utf-8"?>
<x:table xmlns:x="http://schemas.openxmlformats.org/spreadsheetml/2006/main" id="6" name="DebugLogTable" displayName="DebugLogTable" ref="A1:D500" headerRowCount="1">
  <x:tableColumns count="4">
    <x:tableColumn id="1" name="logged_at"/>
    <x:tableColumn id="2" name="level"/>
    <x:tableColumn id="3" name="message"/>
    <x:tableColumn id="4" name="context"/>
  </x:tableColumns>
  <x:tableStyleInfo name="TableStyleMedium2" showRowStripes="1"/>
</x:table>
</file>

<file path=xl/tables/table7.xml><?xml version="1.0" encoding="utf-8"?>
<x:table xmlns:x="http://schemas.openxmlformats.org/spreadsheetml/2006/main" id="7" name="ColumnSpecTable" displayName="ColumnSpecTable" ref="A1:G21" headerRowCount="1">
  <x:tableColumns count="7">
    <x:tableColumn id="1" name="sheet"/>
    <x:tableColumn id="2" name="column_name"/>
    <x:tableColumn id="3" name="source_data_class"/>
    <x:tableColumn id="4" name="source_field_or_logic"/>
    <x:tableColumn id="5" name="type"/>
    <x:tableColumn id="6" name="required"/>
    <x:tableColumn id="7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9b14d9e3e0540b6" /><Relationship Type="http://schemas.openxmlformats.org/officeDocument/2006/relationships/table" Target="/xl/tables/table1.xml" Id="Rca5cf4a6394748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ea23799bda4e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2aa8af7f944c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6a931ae58e43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b5fea21f2c4c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264a20edcc43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a3db9640f484d9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</x:cols>
  <x:sheetData>
    <x:row r="1" ht="22" customHeight="1">
      <x:c r="A1" s="8" t="str">
        <x:v>Health Sheet Sync 保存用スプレッドシート</x:v>
      </x:c>
      <x:c r="B1" s="9"/>
    </x:row>
    <x:row r="3">
      <x:c r="A3" s="5" t="str">
        <x:v>作成方針</x:v>
      </x:c>
      <x:c r="B3" t="str">
        <x:v>Android 実装の data class と読み取り処理に合わせた保存用ひな形</x:v>
      </x:c>
    </x:row>
    <x:row r="4">
      <x:c r="A4" s="5" t="str">
        <x:v>対象リポジトリ</x:v>
      </x:c>
      <x:c r="B4" t="str">
        <x:v>https://github.com/goenc/android_health_sheet_sync</x:v>
      </x:c>
    </x:row>
    <x:row r="5">
      <x:c r="A5" s="5" t="str">
        <x:v>確認ブランチ</x:v>
      </x:c>
      <x:c r="B5" t="str">
        <x:v>work</x:v>
      </x:c>
    </x:row>
    <x:row r="6">
      <x:c r="A6" s="5" t="str">
        <x:v>対象データ型</x:v>
      </x:c>
      <x:c r="B6" t="str">
        <x:v>体重 / 血糖値 / 歩数日次集計</x:v>
      </x:c>
    </x:row>
    <x:row r="7">
      <x:c r="A7" s="5" t="str">
        <x:v>保存単位</x:v>
      </x:c>
      <x:c r="B7" t="str">
        <x:v>Raw 系シートは取得レコード単位。DailySummary は対象日単位。</x:v>
      </x:c>
    </x:row>
    <x:row r="8">
      <x:c r="A8" s="5" t="str">
        <x:v>上書き方針</x:v>
      </x:c>
      <x:c r="B8" t="str">
        <x:v>overwrite_key を使って同一キー行を更新する。</x:v>
      </x:c>
    </x:row>
    <x:row r="9">
      <x:c r="A9" s="5" t="str">
        <x:v>体重キー</x:v>
      </x:c>
      <x:c r="B9" t="str">
        <x:v>target_date + time_band + source_package_name</x:v>
      </x:c>
    </x:row>
    <x:row r="10">
      <x:c r="A10" s="5" t="str">
        <x:v>血糖値キー</x:v>
      </x:c>
      <x:c r="B10" t="str">
        <x:v>target_date + time_band + meal_relation + source_package_name</x:v>
      </x:c>
    </x:row>
    <x:row r="11">
      <x:c r="A11" s="5" t="str">
        <x:v>歩数キー</x:v>
      </x:c>
      <x:c r="B11" t="str">
        <x:v>target_date</x:v>
      </x:c>
    </x:row>
    <x:row r="12">
      <x:c r="A12" s="5" t="str">
        <x:v>注意</x:v>
      </x:c>
      <x:c r="B12" t="str">
        <x:v>Health Connect ID はデバッグ確認用。通常の日次集計では必須ではない。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4" hidden="0" customWidth="1"/>
    <x:col min="11" max="11" width="24" hidden="0" customWidth="1"/>
    <x:col min="12" max="12" width="18" hidden="0" customWidth="1"/>
    <x:col min="13" max="13" width="34" hidden="0" customWidth="1"/>
  </x:cols>
  <x:sheetData>
    <x:row r="1" ht="22" customHeight="1">
      <x:c r="A1" s="22" t="str">
        <x:v>target_date</x:v>
      </x:c>
      <x:c r="B1" s="24" t="str">
        <x:v>morning_weight_kg</x:v>
      </x:c>
      <x:c r="C1" s="24" t="str">
        <x:v>night_weight_kg</x:v>
      </x:c>
      <x:c r="D1" s="24" t="str">
        <x:v>latest_weight_kg</x:v>
      </x:c>
      <x:c r="E1" s="26" t="str">
        <x:v>steps</x:v>
      </x:c>
      <x:c r="F1" s="26" t="str">
        <x:v>fasting_glucose_mg_dl</x:v>
      </x:c>
      <x:c r="G1" s="26" t="str">
        <x:v>before_meal_glucose_mg_dl</x:v>
      </x:c>
      <x:c r="H1" s="26" t="str">
        <x:v>after_meal_glucose_mg_dl</x:v>
      </x:c>
      <x:c r="I1" s="26" t="str">
        <x:v>latest_glucose_mg_dl</x:v>
      </x:c>
      <x:c r="J1" s="15" t="str">
        <x:v>weight_source_app</x:v>
      </x:c>
      <x:c r="K1" s="15" t="str">
        <x:v>glucose_source_app</x:v>
      </x:c>
      <x:c r="L1" s="20" t="str">
        <x:v>row_updated_at</x:v>
      </x:c>
      <x:c r="M1" s="15" t="str">
        <x:v>note</x:v>
      </x:c>
    </x:row>
    <x:row r="2">
      <x:c r="A2" t="n">
        <x:v>46150</x:v>
      </x:c>
      <x:c r="B2" t="n">
        <x:f>IFERROR(LOOKUP(2,1/(WeightRecords!$B$2:$B$500=A2)/(WeightRecords!$C$2:$C$500="朝"),WeightRecords!$D$2:$D$500),"")</x:f>
        <x:v>67.5</x:v>
      </x:c>
      <x:c r="C2" t="str">
        <x:f>IFERROR(LOOKUP(2,1/(WeightRecords!$B$2:$B$500=A2)/(WeightRecords!$C$2:$C$500="夜"),WeightRecords!$D$2:$D$500),"")</x:f>
      </x:c>
      <x:c r="D2" t="n">
        <x:f>IFERROR(LOOKUP(2,1/(WeightRecords!$B$2:$B$500=A2),WeightRecords!$D$2:$D$500),"")</x:f>
        <x:v>67.5</x:v>
      </x:c>
      <x:c r="E2" t="n">
        <x:f>IFERROR(LOOKUP(2,1/(StepDaily!$A$2:$A$500=A2),StepDaily!$B$2:$B$500),"")</x:f>
        <x:v>10000</x:v>
      </x:c>
      <x:c r="F2" t="n">
        <x:f>IFERROR(LOOKUP(2,1/(GlucoseRecords!$B$2:$B$500=A2)/(GlucoseRecords!$E$2:$E$500="空腹時"),GlucoseRecords!$D$2:$D$500),"")</x:f>
        <x:v>105</x:v>
      </x:c>
      <x:c r="G2" t="str">
        <x:f>IFERROR(LOOKUP(2,1/(GlucoseRecords!$B$2:$B$500=A2)/(GlucoseRecords!$E$2:$E$500="食前"),GlucoseRecords!$D$2:$D$500),"")</x:f>
      </x:c>
      <x:c r="H2" t="str">
        <x:f>IFERROR(LOOKUP(2,1/(GlucoseRecords!$B$2:$B$500=A2)/(GlucoseRecords!$E$2:$E$500="食後"),GlucoseRecords!$D$2:$D$500),"")</x:f>
      </x:c>
      <x:c r="I2" t="n">
        <x:f>IFERROR(LOOKUP(2,1/(GlucoseRecords!$B$2:$B$500=A2),GlucoseRecords!$D$2:$D$500),"")</x:f>
        <x:v>105</x:v>
      </x:c>
      <x:c r="J2" t="str">
        <x:f>IFERROR(LOOKUP(2,1/(WeightRecords!$B$2:$B$500=A2),WeightRecords!$F$2:$F$500),"")</x:f>
        <x:v>OMRON connect</x:v>
      </x:c>
      <x:c r="K2" t="str">
        <x:f>IFERROR(LOOKUP(2,1/(GlucoseRecords!$B$2:$B$500=A2),GlucoseRecords!$G$2:$G$500),"")</x:f>
        <x:v>血糖値アプリ</x:v>
      </x:c>
      <x:c r="L2"/>
      <x:c r="M2"/>
    </x:row>
    <x:row r="3">
      <x:c r="A3" t="n">
        <x:v>46149</x:v>
      </x:c>
      <x:c r="B3" t="str">
        <x:f>IFERROR(LOOKUP(2,1/(WeightRecords!$B$2:$B$500=A3)/(WeightRecords!$C$2:$C$500="朝"),WeightRecords!$D$2:$D$500),"")</x:f>
      </x:c>
      <x:c r="C3" t="str">
        <x:f>IFERROR(LOOKUP(2,1/(WeightRecords!$B$2:$B$500=A3)/(WeightRecords!$C$2:$C$500="夜"),WeightRecords!$D$2:$D$500),"")</x:f>
      </x:c>
      <x:c r="D3" t="str">
        <x:f>IFERROR(LOOKUP(2,1/(WeightRecords!$B$2:$B$500=A3),WeightRecords!$D$2:$D$500),"")</x:f>
      </x:c>
      <x:c r="E3" t="str">
        <x:f>IFERROR(LOOKUP(2,1/(StepDaily!$A$2:$A$500=A3),StepDaily!$B$2:$B$500),"")</x:f>
      </x:c>
      <x:c r="F3" t="str">
        <x:f>IFERROR(LOOKUP(2,1/(GlucoseRecords!$B$2:$B$500=A3)/(GlucoseRecords!$E$2:$E$500="空腹時"),GlucoseRecords!$D$2:$D$500),"")</x:f>
      </x:c>
      <x:c r="G3" t="str">
        <x:f>IFERROR(LOOKUP(2,1/(GlucoseRecords!$B$2:$B$500=A3)/(GlucoseRecords!$E$2:$E$500="食前"),GlucoseRecords!$D$2:$D$500),"")</x:f>
      </x:c>
      <x:c r="H3" t="str">
        <x:f>IFERROR(LOOKUP(2,1/(GlucoseRecords!$B$2:$B$500=A3)/(GlucoseRecords!$E$2:$E$500="食後"),GlucoseRecords!$D$2:$D$500),"")</x:f>
      </x:c>
      <x:c r="I3" t="str">
        <x:f>IFERROR(LOOKUP(2,1/(GlucoseRecords!$B$2:$B$500=A3),GlucoseRecords!$D$2:$D$500),"")</x:f>
      </x:c>
      <x:c r="J3" t="str">
        <x:f>IFERROR(LOOKUP(2,1/(WeightRecords!$B$2:$B$500=A3),WeightRecords!$F$2:$F$500),"")</x:f>
      </x:c>
      <x:c r="K3" t="str">
        <x:f>IFERROR(LOOKUP(2,1/(GlucoseRecords!$B$2:$B$500=A3),GlucoseRecords!$G$2:$G$500),"")</x:f>
      </x:c>
      <x:c r="L3"/>
      <x:c r="M3"/>
    </x:row>
    <x:row r="4">
      <x:c r="A4" t="n">
        <x:v>46148</x:v>
      </x:c>
      <x:c r="B4" t="str">
        <x:f>IFERROR(LOOKUP(2,1/(WeightRecords!$B$2:$B$500=A4)/(WeightRecords!$C$2:$C$500="朝"),WeightRecords!$D$2:$D$500),"")</x:f>
      </x:c>
      <x:c r="C4" t="str">
        <x:f>IFERROR(LOOKUP(2,1/(WeightRecords!$B$2:$B$500=A4)/(WeightRecords!$C$2:$C$500="夜"),WeightRecords!$D$2:$D$500),"")</x:f>
      </x:c>
      <x:c r="D4" t="str">
        <x:f>IFERROR(LOOKUP(2,1/(WeightRecords!$B$2:$B$500=A4),WeightRecords!$D$2:$D$500),"")</x:f>
      </x:c>
      <x:c r="E4" t="str">
        <x:f>IFERROR(LOOKUP(2,1/(StepDaily!$A$2:$A$500=A4),StepDaily!$B$2:$B$500),"")</x:f>
      </x:c>
      <x:c r="F4" t="str">
        <x:f>IFERROR(LOOKUP(2,1/(GlucoseRecords!$B$2:$B$500=A4)/(GlucoseRecords!$E$2:$E$500="空腹時"),GlucoseRecords!$D$2:$D$500),"")</x:f>
      </x:c>
      <x:c r="G4" t="str">
        <x:f>IFERROR(LOOKUP(2,1/(GlucoseRecords!$B$2:$B$500=A4)/(GlucoseRecords!$E$2:$E$500="食前"),GlucoseRecords!$D$2:$D$500),"")</x:f>
      </x:c>
      <x:c r="H4" t="str">
        <x:f>IFERROR(LOOKUP(2,1/(GlucoseRecords!$B$2:$B$500=A4)/(GlucoseRecords!$E$2:$E$500="食後"),GlucoseRecords!$D$2:$D$500),"")</x:f>
      </x:c>
      <x:c r="I4" t="str">
        <x:f>IFERROR(LOOKUP(2,1/(GlucoseRecords!$B$2:$B$500=A4),GlucoseRecords!$D$2:$D$500),"")</x:f>
      </x:c>
      <x:c r="J4" t="str">
        <x:f>IFERROR(LOOKUP(2,1/(WeightRecords!$B$2:$B$500=A4),WeightRecords!$F$2:$F$500),"")</x:f>
      </x:c>
      <x:c r="K4" t="str">
        <x:f>IFERROR(LOOKUP(2,1/(GlucoseRecords!$B$2:$B$500=A4),GlucoseRecords!$G$2:$G$500),"")</x:f>
      </x:c>
      <x:c r="L4"/>
      <x:c r="M4"/>
    </x:row>
    <x:row r="5">
      <x:c r="A5" t="n">
        <x:v>46147</x:v>
      </x:c>
      <x:c r="B5" t="str">
        <x:f>IFERROR(LOOKUP(2,1/(WeightRecords!$B$2:$B$500=A5)/(WeightRecords!$C$2:$C$500="朝"),WeightRecords!$D$2:$D$500),"")</x:f>
      </x:c>
      <x:c r="C5" t="str">
        <x:f>IFERROR(LOOKUP(2,1/(WeightRecords!$B$2:$B$500=A5)/(WeightRecords!$C$2:$C$500="夜"),WeightRecords!$D$2:$D$500),"")</x:f>
      </x:c>
      <x:c r="D5" t="str">
        <x:f>IFERROR(LOOKUP(2,1/(WeightRecords!$B$2:$B$500=A5),WeightRecords!$D$2:$D$500),"")</x:f>
      </x:c>
      <x:c r="E5" t="str">
        <x:f>IFERROR(LOOKUP(2,1/(StepDaily!$A$2:$A$500=A5),StepDaily!$B$2:$B$500),"")</x:f>
      </x:c>
      <x:c r="F5" t="str">
        <x:f>IFERROR(LOOKUP(2,1/(GlucoseRecords!$B$2:$B$500=A5)/(GlucoseRecords!$E$2:$E$500="空腹時"),GlucoseRecords!$D$2:$D$500),"")</x:f>
      </x:c>
      <x:c r="G5" t="str">
        <x:f>IFERROR(LOOKUP(2,1/(GlucoseRecords!$B$2:$B$500=A5)/(GlucoseRecords!$E$2:$E$500="食前"),GlucoseRecords!$D$2:$D$500),"")</x:f>
      </x:c>
      <x:c r="H5" t="str">
        <x:f>IFERROR(LOOKUP(2,1/(GlucoseRecords!$B$2:$B$500=A5)/(GlucoseRecords!$E$2:$E$500="食後"),GlucoseRecords!$D$2:$D$500),"")</x:f>
      </x:c>
      <x:c r="I5" t="str">
        <x:f>IFERROR(LOOKUP(2,1/(GlucoseRecords!$B$2:$B$500=A5),GlucoseRecords!$D$2:$D$500),"")</x:f>
      </x:c>
      <x:c r="J5" t="str">
        <x:f>IFERROR(LOOKUP(2,1/(WeightRecords!$B$2:$B$500=A5),WeightRecords!$F$2:$F$500),"")</x:f>
      </x:c>
      <x:c r="K5" t="str">
        <x:f>IFERROR(LOOKUP(2,1/(GlucoseRecords!$B$2:$B$500=A5),GlucoseRecords!$G$2:$G$500),"")</x:f>
      </x:c>
      <x:c r="L5"/>
      <x:c r="M5"/>
    </x:row>
    <x:row r="6">
      <x:c r="A6" t="n">
        <x:v>46146</x:v>
      </x:c>
      <x:c r="B6" t="str">
        <x:f>IFERROR(LOOKUP(2,1/(WeightRecords!$B$2:$B$500=A6)/(WeightRecords!$C$2:$C$500="朝"),WeightRecords!$D$2:$D$500),"")</x:f>
      </x:c>
      <x:c r="C6" t="str">
        <x:f>IFERROR(LOOKUP(2,1/(WeightRecords!$B$2:$B$500=A6)/(WeightRecords!$C$2:$C$500="夜"),WeightRecords!$D$2:$D$500),"")</x:f>
      </x:c>
      <x:c r="D6" t="str">
        <x:f>IFERROR(LOOKUP(2,1/(WeightRecords!$B$2:$B$500=A6),WeightRecords!$D$2:$D$500),"")</x:f>
      </x:c>
      <x:c r="E6" t="str">
        <x:f>IFERROR(LOOKUP(2,1/(StepDaily!$A$2:$A$500=A6),StepDaily!$B$2:$B$500),"")</x:f>
      </x:c>
      <x:c r="F6" t="str">
        <x:f>IFERROR(LOOKUP(2,1/(GlucoseRecords!$B$2:$B$500=A6)/(GlucoseRecords!$E$2:$E$500="空腹時"),GlucoseRecords!$D$2:$D$500),"")</x:f>
      </x:c>
      <x:c r="G6" t="str">
        <x:f>IFERROR(LOOKUP(2,1/(GlucoseRecords!$B$2:$B$500=A6)/(GlucoseRecords!$E$2:$E$500="食前"),GlucoseRecords!$D$2:$D$500),"")</x:f>
      </x:c>
      <x:c r="H6" t="str">
        <x:f>IFERROR(LOOKUP(2,1/(GlucoseRecords!$B$2:$B$500=A6)/(GlucoseRecords!$E$2:$E$500="食後"),GlucoseRecords!$D$2:$D$500),"")</x:f>
      </x:c>
      <x:c r="I6" t="str">
        <x:f>IFERROR(LOOKUP(2,1/(GlucoseRecords!$B$2:$B$500=A6),GlucoseRecords!$D$2:$D$500),"")</x:f>
      </x:c>
      <x:c r="J6" t="str">
        <x:f>IFERROR(LOOKUP(2,1/(WeightRecords!$B$2:$B$500=A6),WeightRecords!$F$2:$F$500),"")</x:f>
      </x:c>
      <x:c r="K6" t="str">
        <x:f>IFERROR(LOOKUP(2,1/(GlucoseRecords!$B$2:$B$500=A6),GlucoseRecords!$G$2:$G$500),"")</x:f>
      </x:c>
      <x:c r="L6"/>
      <x:c r="M6"/>
    </x:row>
    <x:row r="7">
      <x:c r="A7" t="n">
        <x:v>46145</x:v>
      </x:c>
      <x:c r="B7" t="str">
        <x:f>IFERROR(LOOKUP(2,1/(WeightRecords!$B$2:$B$500=A7)/(WeightRecords!$C$2:$C$500="朝"),WeightRecords!$D$2:$D$500),"")</x:f>
      </x:c>
      <x:c r="C7" t="str">
        <x:f>IFERROR(LOOKUP(2,1/(WeightRecords!$B$2:$B$500=A7)/(WeightRecords!$C$2:$C$500="夜"),WeightRecords!$D$2:$D$500),"")</x:f>
      </x:c>
      <x:c r="D7" t="str">
        <x:f>IFERROR(LOOKUP(2,1/(WeightRecords!$B$2:$B$500=A7),WeightRecords!$D$2:$D$500),"")</x:f>
      </x:c>
      <x:c r="E7" t="str">
        <x:f>IFERROR(LOOKUP(2,1/(StepDaily!$A$2:$A$500=A7),StepDaily!$B$2:$B$500),"")</x:f>
      </x:c>
      <x:c r="F7" t="str">
        <x:f>IFERROR(LOOKUP(2,1/(GlucoseRecords!$B$2:$B$500=A7)/(GlucoseRecords!$E$2:$E$500="空腹時"),GlucoseRecords!$D$2:$D$500),"")</x:f>
      </x:c>
      <x:c r="G7" t="str">
        <x:f>IFERROR(LOOKUP(2,1/(GlucoseRecords!$B$2:$B$500=A7)/(GlucoseRecords!$E$2:$E$500="食前"),GlucoseRecords!$D$2:$D$500),"")</x:f>
      </x:c>
      <x:c r="H7" t="str">
        <x:f>IFERROR(LOOKUP(2,1/(GlucoseRecords!$B$2:$B$500=A7)/(GlucoseRecords!$E$2:$E$500="食後"),GlucoseRecords!$D$2:$D$500),"")</x:f>
      </x:c>
      <x:c r="I7" t="str">
        <x:f>IFERROR(LOOKUP(2,1/(GlucoseRecords!$B$2:$B$500=A7),GlucoseRecords!$D$2:$D$500),"")</x:f>
      </x:c>
      <x:c r="J7" t="str">
        <x:f>IFERROR(LOOKUP(2,1/(WeightRecords!$B$2:$B$500=A7),WeightRecords!$F$2:$F$500),"")</x:f>
      </x:c>
      <x:c r="K7" t="str">
        <x:f>IFERROR(LOOKUP(2,1/(GlucoseRecords!$B$2:$B$500=A7),GlucoseRecords!$G$2:$G$500),"")</x:f>
      </x:c>
      <x:c r="L7"/>
      <x:c r="M7"/>
    </x:row>
    <x:row r="8">
      <x:c r="A8" t="n">
        <x:v>46144</x:v>
      </x:c>
      <x:c r="B8" t="str">
        <x:f>IFERROR(LOOKUP(2,1/(WeightRecords!$B$2:$B$500=A8)/(WeightRecords!$C$2:$C$500="朝"),WeightRecords!$D$2:$D$500),"")</x:f>
      </x:c>
      <x:c r="C8" t="str">
        <x:f>IFERROR(LOOKUP(2,1/(WeightRecords!$B$2:$B$500=A8)/(WeightRecords!$C$2:$C$500="夜"),WeightRecords!$D$2:$D$500),"")</x:f>
      </x:c>
      <x:c r="D8" t="str">
        <x:f>IFERROR(LOOKUP(2,1/(WeightRecords!$B$2:$B$500=A8),WeightRecords!$D$2:$D$500),"")</x:f>
      </x:c>
      <x:c r="E8" t="str">
        <x:f>IFERROR(LOOKUP(2,1/(StepDaily!$A$2:$A$500=A8),StepDaily!$B$2:$B$500),"")</x:f>
      </x:c>
      <x:c r="F8" t="str">
        <x:f>IFERROR(LOOKUP(2,1/(GlucoseRecords!$B$2:$B$500=A8)/(GlucoseRecords!$E$2:$E$500="空腹時"),GlucoseRecords!$D$2:$D$500),"")</x:f>
      </x:c>
      <x:c r="G8" t="str">
        <x:f>IFERROR(LOOKUP(2,1/(GlucoseRecords!$B$2:$B$500=A8)/(GlucoseRecords!$E$2:$E$500="食前"),GlucoseRecords!$D$2:$D$500),"")</x:f>
      </x:c>
      <x:c r="H8" t="str">
        <x:f>IFERROR(LOOKUP(2,1/(GlucoseRecords!$B$2:$B$500=A8)/(GlucoseRecords!$E$2:$E$500="食後"),GlucoseRecords!$D$2:$D$500),"")</x:f>
      </x:c>
      <x:c r="I8" t="str">
        <x:f>IFERROR(LOOKUP(2,1/(GlucoseRecords!$B$2:$B$500=A8),GlucoseRecords!$D$2:$D$500),"")</x:f>
      </x:c>
      <x:c r="J8" t="str">
        <x:f>IFERROR(LOOKUP(2,1/(WeightRecords!$B$2:$B$500=A8),WeightRecords!$F$2:$F$500),"")</x:f>
      </x:c>
      <x:c r="K8" t="str">
        <x:f>IFERROR(LOOKUP(2,1/(GlucoseRecords!$B$2:$B$500=A8),GlucoseRecords!$G$2:$G$500),"")</x:f>
      </x:c>
      <x:c r="L8"/>
      <x:c r="M8"/>
    </x:row>
    <x:row r="9">
      <x:c r="A9" t="n">
        <x:v>46143</x:v>
      </x:c>
      <x:c r="B9" t="str">
        <x:f>IFERROR(LOOKUP(2,1/(WeightRecords!$B$2:$B$500=A9)/(WeightRecords!$C$2:$C$500="朝"),WeightRecords!$D$2:$D$500),"")</x:f>
      </x:c>
      <x:c r="C9" t="str">
        <x:f>IFERROR(LOOKUP(2,1/(WeightRecords!$B$2:$B$500=A9)/(WeightRecords!$C$2:$C$500="夜"),WeightRecords!$D$2:$D$500),"")</x:f>
      </x:c>
      <x:c r="D9" t="str">
        <x:f>IFERROR(LOOKUP(2,1/(WeightRecords!$B$2:$B$500=A9),WeightRecords!$D$2:$D$500),"")</x:f>
      </x:c>
      <x:c r="E9" t="str">
        <x:f>IFERROR(LOOKUP(2,1/(StepDaily!$A$2:$A$500=A9),StepDaily!$B$2:$B$500),"")</x:f>
      </x:c>
      <x:c r="F9" t="str">
        <x:f>IFERROR(LOOKUP(2,1/(GlucoseRecords!$B$2:$B$500=A9)/(GlucoseRecords!$E$2:$E$500="空腹時"),GlucoseRecords!$D$2:$D$500),"")</x:f>
      </x:c>
      <x:c r="G9" t="str">
        <x:f>IFERROR(LOOKUP(2,1/(GlucoseRecords!$B$2:$B$500=A9)/(GlucoseRecords!$E$2:$E$500="食前"),GlucoseRecords!$D$2:$D$500),"")</x:f>
      </x:c>
      <x:c r="H9" t="str">
        <x:f>IFERROR(LOOKUP(2,1/(GlucoseRecords!$B$2:$B$500=A9)/(GlucoseRecords!$E$2:$E$500="食後"),GlucoseRecords!$D$2:$D$500),"")</x:f>
      </x:c>
      <x:c r="I9" t="str">
        <x:f>IFERROR(LOOKUP(2,1/(GlucoseRecords!$B$2:$B$500=A9),GlucoseRecords!$D$2:$D$500),"")</x:f>
      </x:c>
      <x:c r="J9" t="str">
        <x:f>IFERROR(LOOKUP(2,1/(WeightRecords!$B$2:$B$500=A9),WeightRecords!$F$2:$F$500),"")</x:f>
      </x:c>
      <x:c r="K9" t="str">
        <x:f>IFERROR(LOOKUP(2,1/(GlucoseRecords!$B$2:$B$500=A9),GlucoseRecords!$G$2:$G$500),"")</x:f>
      </x:c>
      <x:c r="L9"/>
      <x:c r="M9"/>
    </x:row>
    <x:row r="10">
      <x:c r="A10" t="n">
        <x:v>46142</x:v>
      </x:c>
      <x:c r="B10" t="str">
        <x:f>IFERROR(LOOKUP(2,1/(WeightRecords!$B$2:$B$500=A10)/(WeightRecords!$C$2:$C$500="朝"),WeightRecords!$D$2:$D$500),"")</x:f>
      </x:c>
      <x:c r="C10" t="str">
        <x:f>IFERROR(LOOKUP(2,1/(WeightRecords!$B$2:$B$500=A10)/(WeightRecords!$C$2:$C$500="夜"),WeightRecords!$D$2:$D$500),"")</x:f>
      </x:c>
      <x:c r="D10" t="str">
        <x:f>IFERROR(LOOKUP(2,1/(WeightRecords!$B$2:$B$500=A10),WeightRecords!$D$2:$D$500),"")</x:f>
      </x:c>
      <x:c r="E10" t="str">
        <x:f>IFERROR(LOOKUP(2,1/(StepDaily!$A$2:$A$500=A10),StepDaily!$B$2:$B$500),"")</x:f>
      </x:c>
      <x:c r="F10" t="str">
        <x:f>IFERROR(LOOKUP(2,1/(GlucoseRecords!$B$2:$B$500=A10)/(GlucoseRecords!$E$2:$E$500="空腹時"),GlucoseRecords!$D$2:$D$500),"")</x:f>
      </x:c>
      <x:c r="G10" t="str">
        <x:f>IFERROR(LOOKUP(2,1/(GlucoseRecords!$B$2:$B$500=A10)/(GlucoseRecords!$E$2:$E$500="食前"),GlucoseRecords!$D$2:$D$500),"")</x:f>
      </x:c>
      <x:c r="H10" t="str">
        <x:f>IFERROR(LOOKUP(2,1/(GlucoseRecords!$B$2:$B$500=A10)/(GlucoseRecords!$E$2:$E$500="食後"),GlucoseRecords!$D$2:$D$500),"")</x:f>
      </x:c>
      <x:c r="I10" t="str">
        <x:f>IFERROR(LOOKUP(2,1/(GlucoseRecords!$B$2:$B$500=A10),GlucoseRecords!$D$2:$D$500),"")</x:f>
      </x:c>
      <x:c r="J10" t="str">
        <x:f>IFERROR(LOOKUP(2,1/(WeightRecords!$B$2:$B$500=A10),WeightRecords!$F$2:$F$500),"")</x:f>
      </x:c>
      <x:c r="K10" t="str">
        <x:f>IFERROR(LOOKUP(2,1/(GlucoseRecords!$B$2:$B$500=A10),GlucoseRecords!$G$2:$G$500),"")</x:f>
      </x:c>
      <x:c r="L10"/>
      <x:c r="M10"/>
    </x:row>
    <x:row r="11">
      <x:c r="A11" t="n">
        <x:v>46141</x:v>
      </x:c>
      <x:c r="B11" t="str">
        <x:f>IFERROR(LOOKUP(2,1/(WeightRecords!$B$2:$B$500=A11)/(WeightRecords!$C$2:$C$500="朝"),WeightRecords!$D$2:$D$500),"")</x:f>
      </x:c>
      <x:c r="C11" t="str">
        <x:f>IFERROR(LOOKUP(2,1/(WeightRecords!$B$2:$B$500=A11)/(WeightRecords!$C$2:$C$500="夜"),WeightRecords!$D$2:$D$500),"")</x:f>
      </x:c>
      <x:c r="D11" t="str">
        <x:f>IFERROR(LOOKUP(2,1/(WeightRecords!$B$2:$B$500=A11),WeightRecords!$D$2:$D$500),"")</x:f>
      </x:c>
      <x:c r="E11" t="str">
        <x:f>IFERROR(LOOKUP(2,1/(StepDaily!$A$2:$A$500=A11),StepDaily!$B$2:$B$500),"")</x:f>
      </x:c>
      <x:c r="F11" t="str">
        <x:f>IFERROR(LOOKUP(2,1/(GlucoseRecords!$B$2:$B$500=A11)/(GlucoseRecords!$E$2:$E$500="空腹時"),GlucoseRecords!$D$2:$D$500),"")</x:f>
      </x:c>
      <x:c r="G11" t="str">
        <x:f>IFERROR(LOOKUP(2,1/(GlucoseRecords!$B$2:$B$500=A11)/(GlucoseRecords!$E$2:$E$500="食前"),GlucoseRecords!$D$2:$D$500),"")</x:f>
      </x:c>
      <x:c r="H11" t="str">
        <x:f>IFERROR(LOOKUP(2,1/(GlucoseRecords!$B$2:$B$500=A11)/(GlucoseRecords!$E$2:$E$500="食後"),GlucoseRecords!$D$2:$D$500),"")</x:f>
      </x:c>
      <x:c r="I11" t="str">
        <x:f>IFERROR(LOOKUP(2,1/(GlucoseRecords!$B$2:$B$500=A11),GlucoseRecords!$D$2:$D$500),"")</x:f>
      </x:c>
      <x:c r="J11" t="str">
        <x:f>IFERROR(LOOKUP(2,1/(WeightRecords!$B$2:$B$500=A11),WeightRecords!$F$2:$F$500),"")</x:f>
      </x:c>
      <x:c r="K11" t="str">
        <x:f>IFERROR(LOOKUP(2,1/(GlucoseRecords!$B$2:$B$500=A11),GlucoseRecords!$G$2:$G$500),"")</x:f>
      </x:c>
      <x:c r="L11"/>
      <x:c r="M11"/>
    </x:row>
    <x:row r="12">
      <x:c r="A12" t="n">
        <x:v>46140</x:v>
      </x:c>
      <x:c r="B12" t="str">
        <x:f>IFERROR(LOOKUP(2,1/(WeightRecords!$B$2:$B$500=A12)/(WeightRecords!$C$2:$C$500="朝"),WeightRecords!$D$2:$D$500),"")</x:f>
      </x:c>
      <x:c r="C12" t="str">
        <x:f>IFERROR(LOOKUP(2,1/(WeightRecords!$B$2:$B$500=A12)/(WeightRecords!$C$2:$C$500="夜"),WeightRecords!$D$2:$D$500),"")</x:f>
      </x:c>
      <x:c r="D12" t="str">
        <x:f>IFERROR(LOOKUP(2,1/(WeightRecords!$B$2:$B$500=A12),WeightRecords!$D$2:$D$500),"")</x:f>
      </x:c>
      <x:c r="E12" t="str">
        <x:f>IFERROR(LOOKUP(2,1/(StepDaily!$A$2:$A$500=A12),StepDaily!$B$2:$B$500),"")</x:f>
      </x:c>
      <x:c r="F12" t="str">
        <x:f>IFERROR(LOOKUP(2,1/(GlucoseRecords!$B$2:$B$500=A12)/(GlucoseRecords!$E$2:$E$500="空腹時"),GlucoseRecords!$D$2:$D$500),"")</x:f>
      </x:c>
      <x:c r="G12" t="str">
        <x:f>IFERROR(LOOKUP(2,1/(GlucoseRecords!$B$2:$B$500=A12)/(GlucoseRecords!$E$2:$E$500="食前"),GlucoseRecords!$D$2:$D$500),"")</x:f>
      </x:c>
      <x:c r="H12" t="str">
        <x:f>IFERROR(LOOKUP(2,1/(GlucoseRecords!$B$2:$B$500=A12)/(GlucoseRecords!$E$2:$E$500="食後"),GlucoseRecords!$D$2:$D$500),"")</x:f>
      </x:c>
      <x:c r="I12" t="str">
        <x:f>IFERROR(LOOKUP(2,1/(GlucoseRecords!$B$2:$B$500=A12),GlucoseRecords!$D$2:$D$500),"")</x:f>
      </x:c>
      <x:c r="J12" t="str">
        <x:f>IFERROR(LOOKUP(2,1/(WeightRecords!$B$2:$B$500=A12),WeightRecords!$F$2:$F$500),"")</x:f>
      </x:c>
      <x:c r="K12" t="str">
        <x:f>IFERROR(LOOKUP(2,1/(GlucoseRecords!$B$2:$B$500=A12),GlucoseRecords!$G$2:$G$500),"")</x:f>
      </x:c>
      <x:c r="L12"/>
      <x:c r="M12"/>
    </x:row>
    <x:row r="13">
      <x:c r="A13" t="n">
        <x:v>46139</x:v>
      </x:c>
      <x:c r="B13" t="str">
        <x:f>IFERROR(LOOKUP(2,1/(WeightRecords!$B$2:$B$500=A13)/(WeightRecords!$C$2:$C$500="朝"),WeightRecords!$D$2:$D$500),"")</x:f>
      </x:c>
      <x:c r="C13" t="str">
        <x:f>IFERROR(LOOKUP(2,1/(WeightRecords!$B$2:$B$500=A13)/(WeightRecords!$C$2:$C$500="夜"),WeightRecords!$D$2:$D$500),"")</x:f>
      </x:c>
      <x:c r="D13" t="str">
        <x:f>IFERROR(LOOKUP(2,1/(WeightRecords!$B$2:$B$500=A13),WeightRecords!$D$2:$D$500),"")</x:f>
      </x:c>
      <x:c r="E13" t="str">
        <x:f>IFERROR(LOOKUP(2,1/(StepDaily!$A$2:$A$500=A13),StepDaily!$B$2:$B$500),"")</x:f>
      </x:c>
      <x:c r="F13" t="str">
        <x:f>IFERROR(LOOKUP(2,1/(GlucoseRecords!$B$2:$B$500=A13)/(GlucoseRecords!$E$2:$E$500="空腹時"),GlucoseRecords!$D$2:$D$500),"")</x:f>
      </x:c>
      <x:c r="G13" t="str">
        <x:f>IFERROR(LOOKUP(2,1/(GlucoseRecords!$B$2:$B$500=A13)/(GlucoseRecords!$E$2:$E$500="食前"),GlucoseRecords!$D$2:$D$500),"")</x:f>
      </x:c>
      <x:c r="H13" t="str">
        <x:f>IFERROR(LOOKUP(2,1/(GlucoseRecords!$B$2:$B$500=A13)/(GlucoseRecords!$E$2:$E$500="食後"),GlucoseRecords!$D$2:$D$500),"")</x:f>
      </x:c>
      <x:c r="I13" t="str">
        <x:f>IFERROR(LOOKUP(2,1/(GlucoseRecords!$B$2:$B$500=A13),GlucoseRecords!$D$2:$D$500),"")</x:f>
      </x:c>
      <x:c r="J13" t="str">
        <x:f>IFERROR(LOOKUP(2,1/(WeightRecords!$B$2:$B$500=A13),WeightRecords!$F$2:$F$500),"")</x:f>
      </x:c>
      <x:c r="K13" t="str">
        <x:f>IFERROR(LOOKUP(2,1/(GlucoseRecords!$B$2:$B$500=A13),GlucoseRecords!$G$2:$G$500),"")</x:f>
      </x:c>
      <x:c r="L13"/>
      <x:c r="M13"/>
    </x:row>
    <x:row r="14">
      <x:c r="A14" t="n">
        <x:v>46138</x:v>
      </x:c>
      <x:c r="B14" t="str">
        <x:f>IFERROR(LOOKUP(2,1/(WeightRecords!$B$2:$B$500=A14)/(WeightRecords!$C$2:$C$500="朝"),WeightRecords!$D$2:$D$500),"")</x:f>
      </x:c>
      <x:c r="C14" t="str">
        <x:f>IFERROR(LOOKUP(2,1/(WeightRecords!$B$2:$B$500=A14)/(WeightRecords!$C$2:$C$500="夜"),WeightRecords!$D$2:$D$500),"")</x:f>
      </x:c>
      <x:c r="D14" t="str">
        <x:f>IFERROR(LOOKUP(2,1/(WeightRecords!$B$2:$B$500=A14),WeightRecords!$D$2:$D$500),"")</x:f>
      </x:c>
      <x:c r="E14" t="str">
        <x:f>IFERROR(LOOKUP(2,1/(StepDaily!$A$2:$A$500=A14),StepDaily!$B$2:$B$500),"")</x:f>
      </x:c>
      <x:c r="F14" t="str">
        <x:f>IFERROR(LOOKUP(2,1/(GlucoseRecords!$B$2:$B$500=A14)/(GlucoseRecords!$E$2:$E$500="空腹時"),GlucoseRecords!$D$2:$D$500),"")</x:f>
      </x:c>
      <x:c r="G14" t="str">
        <x:f>IFERROR(LOOKUP(2,1/(GlucoseRecords!$B$2:$B$500=A14)/(GlucoseRecords!$E$2:$E$500="食前"),GlucoseRecords!$D$2:$D$500),"")</x:f>
      </x:c>
      <x:c r="H14" t="str">
        <x:f>IFERROR(LOOKUP(2,1/(GlucoseRecords!$B$2:$B$500=A14)/(GlucoseRecords!$E$2:$E$500="食後"),GlucoseRecords!$D$2:$D$500),"")</x:f>
      </x:c>
      <x:c r="I14" t="str">
        <x:f>IFERROR(LOOKUP(2,1/(GlucoseRecords!$B$2:$B$500=A14),GlucoseRecords!$D$2:$D$500),"")</x:f>
      </x:c>
      <x:c r="J14" t="str">
        <x:f>IFERROR(LOOKUP(2,1/(WeightRecords!$B$2:$B$500=A14),WeightRecords!$F$2:$F$500),"")</x:f>
      </x:c>
      <x:c r="K14" t="str">
        <x:f>IFERROR(LOOKUP(2,1/(GlucoseRecords!$B$2:$B$500=A14),GlucoseRecords!$G$2:$G$500),"")</x:f>
      </x:c>
      <x:c r="L14"/>
      <x:c r="M14"/>
    </x:row>
    <x:row r="15">
      <x:c r="A15" t="n">
        <x:v>46137</x:v>
      </x:c>
      <x:c r="B15" t="str">
        <x:f>IFERROR(LOOKUP(2,1/(WeightRecords!$B$2:$B$500=A15)/(WeightRecords!$C$2:$C$500="朝"),WeightRecords!$D$2:$D$500),"")</x:f>
      </x:c>
      <x:c r="C15" t="str">
        <x:f>IFERROR(LOOKUP(2,1/(WeightRecords!$B$2:$B$500=A15)/(WeightRecords!$C$2:$C$500="夜"),WeightRecords!$D$2:$D$500),"")</x:f>
      </x:c>
      <x:c r="D15" t="str">
        <x:f>IFERROR(LOOKUP(2,1/(WeightRecords!$B$2:$B$500=A15),WeightRecords!$D$2:$D$500),"")</x:f>
      </x:c>
      <x:c r="E15" t="str">
        <x:f>IFERROR(LOOKUP(2,1/(StepDaily!$A$2:$A$500=A15),StepDaily!$B$2:$B$500),"")</x:f>
      </x:c>
      <x:c r="F15" t="str">
        <x:f>IFERROR(LOOKUP(2,1/(GlucoseRecords!$B$2:$B$500=A15)/(GlucoseRecords!$E$2:$E$500="空腹時"),GlucoseRecords!$D$2:$D$500),"")</x:f>
      </x:c>
      <x:c r="G15" t="str">
        <x:f>IFERROR(LOOKUP(2,1/(GlucoseRecords!$B$2:$B$500=A15)/(GlucoseRecords!$E$2:$E$500="食前"),GlucoseRecords!$D$2:$D$500),"")</x:f>
      </x:c>
      <x:c r="H15" t="str">
        <x:f>IFERROR(LOOKUP(2,1/(GlucoseRecords!$B$2:$B$500=A15)/(GlucoseRecords!$E$2:$E$500="食後"),GlucoseRecords!$D$2:$D$500),"")</x:f>
      </x:c>
      <x:c r="I15" t="str">
        <x:f>IFERROR(LOOKUP(2,1/(GlucoseRecords!$B$2:$B$500=A15),GlucoseRecords!$D$2:$D$500),"")</x:f>
      </x:c>
      <x:c r="J15" t="str">
        <x:f>IFERROR(LOOKUP(2,1/(WeightRecords!$B$2:$B$500=A15),WeightRecords!$F$2:$F$500),"")</x:f>
      </x:c>
      <x:c r="K15" t="str">
        <x:f>IFERROR(LOOKUP(2,1/(GlucoseRecords!$B$2:$B$500=A15),GlucoseRecords!$G$2:$G$500),"")</x:f>
      </x:c>
      <x:c r="L15"/>
      <x:c r="M15"/>
    </x:row>
    <x:row r="16">
      <x:c r="A16" t="n">
        <x:v>46136</x:v>
      </x:c>
      <x:c r="B16" t="str">
        <x:f>IFERROR(LOOKUP(2,1/(WeightRecords!$B$2:$B$500=A16)/(WeightRecords!$C$2:$C$500="朝"),WeightRecords!$D$2:$D$500),"")</x:f>
      </x:c>
      <x:c r="C16" t="str">
        <x:f>IFERROR(LOOKUP(2,1/(WeightRecords!$B$2:$B$500=A16)/(WeightRecords!$C$2:$C$500="夜"),WeightRecords!$D$2:$D$500),"")</x:f>
      </x:c>
      <x:c r="D16" t="str">
        <x:f>IFERROR(LOOKUP(2,1/(WeightRecords!$B$2:$B$500=A16),WeightRecords!$D$2:$D$500),"")</x:f>
      </x:c>
      <x:c r="E16" t="str">
        <x:f>IFERROR(LOOKUP(2,1/(StepDaily!$A$2:$A$500=A16),StepDaily!$B$2:$B$500),"")</x:f>
      </x:c>
      <x:c r="F16" t="str">
        <x:f>IFERROR(LOOKUP(2,1/(GlucoseRecords!$B$2:$B$500=A16)/(GlucoseRecords!$E$2:$E$500="空腹時"),GlucoseRecords!$D$2:$D$500),"")</x:f>
      </x:c>
      <x:c r="G16" t="str">
        <x:f>IFERROR(LOOKUP(2,1/(GlucoseRecords!$B$2:$B$500=A16)/(GlucoseRecords!$E$2:$E$500="食前"),GlucoseRecords!$D$2:$D$500),"")</x:f>
      </x:c>
      <x:c r="H16" t="str">
        <x:f>IFERROR(LOOKUP(2,1/(GlucoseRecords!$B$2:$B$500=A16)/(GlucoseRecords!$E$2:$E$500="食後"),GlucoseRecords!$D$2:$D$500),"")</x:f>
      </x:c>
      <x:c r="I16" t="str">
        <x:f>IFERROR(LOOKUP(2,1/(GlucoseRecords!$B$2:$B$500=A16),GlucoseRecords!$D$2:$D$500),"")</x:f>
      </x:c>
      <x:c r="J16" t="str">
        <x:f>IFERROR(LOOKUP(2,1/(WeightRecords!$B$2:$B$500=A16),WeightRecords!$F$2:$F$500),"")</x:f>
      </x:c>
      <x:c r="K16" t="str">
        <x:f>IFERROR(LOOKUP(2,1/(GlucoseRecords!$B$2:$B$500=A16),GlucoseRecords!$G$2:$G$500),"")</x:f>
      </x:c>
      <x:c r="L16"/>
      <x:c r="M16"/>
    </x:row>
    <x:row r="17">
      <x:c r="A17" t="n">
        <x:v>46135</x:v>
      </x:c>
      <x:c r="B17" t="str">
        <x:f>IFERROR(LOOKUP(2,1/(WeightRecords!$B$2:$B$500=A17)/(WeightRecords!$C$2:$C$500="朝"),WeightRecords!$D$2:$D$500),"")</x:f>
      </x:c>
      <x:c r="C17" t="str">
        <x:f>IFERROR(LOOKUP(2,1/(WeightRecords!$B$2:$B$500=A17)/(WeightRecords!$C$2:$C$500="夜"),WeightRecords!$D$2:$D$500),"")</x:f>
      </x:c>
      <x:c r="D17" t="str">
        <x:f>IFERROR(LOOKUP(2,1/(WeightRecords!$B$2:$B$500=A17),WeightRecords!$D$2:$D$500),"")</x:f>
      </x:c>
      <x:c r="E17" t="str">
        <x:f>IFERROR(LOOKUP(2,1/(StepDaily!$A$2:$A$500=A17),StepDaily!$B$2:$B$500),"")</x:f>
      </x:c>
      <x:c r="F17" t="str">
        <x:f>IFERROR(LOOKUP(2,1/(GlucoseRecords!$B$2:$B$500=A17)/(GlucoseRecords!$E$2:$E$500="空腹時"),GlucoseRecords!$D$2:$D$500),"")</x:f>
      </x:c>
      <x:c r="G17" t="str">
        <x:f>IFERROR(LOOKUP(2,1/(GlucoseRecords!$B$2:$B$500=A17)/(GlucoseRecords!$E$2:$E$500="食前"),GlucoseRecords!$D$2:$D$500),"")</x:f>
      </x:c>
      <x:c r="H17" t="str">
        <x:f>IFERROR(LOOKUP(2,1/(GlucoseRecords!$B$2:$B$500=A17)/(GlucoseRecords!$E$2:$E$500="食後"),GlucoseRecords!$D$2:$D$500),"")</x:f>
      </x:c>
      <x:c r="I17" t="str">
        <x:f>IFERROR(LOOKUP(2,1/(GlucoseRecords!$B$2:$B$500=A17),GlucoseRecords!$D$2:$D$500),"")</x:f>
      </x:c>
      <x:c r="J17" t="str">
        <x:f>IFERROR(LOOKUP(2,1/(WeightRecords!$B$2:$B$500=A17),WeightRecords!$F$2:$F$500),"")</x:f>
      </x:c>
      <x:c r="K17" t="str">
        <x:f>IFERROR(LOOKUP(2,1/(GlucoseRecords!$B$2:$B$500=A17),GlucoseRecords!$G$2:$G$500),"")</x:f>
      </x:c>
      <x:c r="L17"/>
      <x:c r="M17"/>
    </x:row>
    <x:row r="18">
      <x:c r="A18" t="n">
        <x:v>46134</x:v>
      </x:c>
      <x:c r="B18" t="str">
        <x:f>IFERROR(LOOKUP(2,1/(WeightRecords!$B$2:$B$500=A18)/(WeightRecords!$C$2:$C$500="朝"),WeightRecords!$D$2:$D$500),"")</x:f>
      </x:c>
      <x:c r="C18" t="str">
        <x:f>IFERROR(LOOKUP(2,1/(WeightRecords!$B$2:$B$500=A18)/(WeightRecords!$C$2:$C$500="夜"),WeightRecords!$D$2:$D$500),"")</x:f>
      </x:c>
      <x:c r="D18" t="str">
        <x:f>IFERROR(LOOKUP(2,1/(WeightRecords!$B$2:$B$500=A18),WeightRecords!$D$2:$D$500),"")</x:f>
      </x:c>
      <x:c r="E18" t="str">
        <x:f>IFERROR(LOOKUP(2,1/(StepDaily!$A$2:$A$500=A18),StepDaily!$B$2:$B$500),"")</x:f>
      </x:c>
      <x:c r="F18" t="str">
        <x:f>IFERROR(LOOKUP(2,1/(GlucoseRecords!$B$2:$B$500=A18)/(GlucoseRecords!$E$2:$E$500="空腹時"),GlucoseRecords!$D$2:$D$500),"")</x:f>
      </x:c>
      <x:c r="G18" t="str">
        <x:f>IFERROR(LOOKUP(2,1/(GlucoseRecords!$B$2:$B$500=A18)/(GlucoseRecords!$E$2:$E$500="食前"),GlucoseRecords!$D$2:$D$500),"")</x:f>
      </x:c>
      <x:c r="H18" t="str">
        <x:f>IFERROR(LOOKUP(2,1/(GlucoseRecords!$B$2:$B$500=A18)/(GlucoseRecords!$E$2:$E$500="食後"),GlucoseRecords!$D$2:$D$500),"")</x:f>
      </x:c>
      <x:c r="I18" t="str">
        <x:f>IFERROR(LOOKUP(2,1/(GlucoseRecords!$B$2:$B$500=A18),GlucoseRecords!$D$2:$D$500),"")</x:f>
      </x:c>
      <x:c r="J18" t="str">
        <x:f>IFERROR(LOOKUP(2,1/(WeightRecords!$B$2:$B$500=A18),WeightRecords!$F$2:$F$500),"")</x:f>
      </x:c>
      <x:c r="K18" t="str">
        <x:f>IFERROR(LOOKUP(2,1/(GlucoseRecords!$B$2:$B$500=A18),GlucoseRecords!$G$2:$G$500),"")</x:f>
      </x:c>
      <x:c r="L18"/>
      <x:c r="M18"/>
    </x:row>
    <x:row r="19">
      <x:c r="A19" t="n">
        <x:v>46133</x:v>
      </x:c>
      <x:c r="B19" t="str">
        <x:f>IFERROR(LOOKUP(2,1/(WeightRecords!$B$2:$B$500=A19)/(WeightRecords!$C$2:$C$500="朝"),WeightRecords!$D$2:$D$500),"")</x:f>
      </x:c>
      <x:c r="C19" t="str">
        <x:f>IFERROR(LOOKUP(2,1/(WeightRecords!$B$2:$B$500=A19)/(WeightRecords!$C$2:$C$500="夜"),WeightRecords!$D$2:$D$500),"")</x:f>
      </x:c>
      <x:c r="D19" t="str">
        <x:f>IFERROR(LOOKUP(2,1/(WeightRecords!$B$2:$B$500=A19),WeightRecords!$D$2:$D$500),"")</x:f>
      </x:c>
      <x:c r="E19" t="str">
        <x:f>IFERROR(LOOKUP(2,1/(StepDaily!$A$2:$A$500=A19),StepDaily!$B$2:$B$500),"")</x:f>
      </x:c>
      <x:c r="F19" t="str">
        <x:f>IFERROR(LOOKUP(2,1/(GlucoseRecords!$B$2:$B$500=A19)/(GlucoseRecords!$E$2:$E$500="空腹時"),GlucoseRecords!$D$2:$D$500),"")</x:f>
      </x:c>
      <x:c r="G19" t="str">
        <x:f>IFERROR(LOOKUP(2,1/(GlucoseRecords!$B$2:$B$500=A19)/(GlucoseRecords!$E$2:$E$500="食前"),GlucoseRecords!$D$2:$D$500),"")</x:f>
      </x:c>
      <x:c r="H19" t="str">
        <x:f>IFERROR(LOOKUP(2,1/(GlucoseRecords!$B$2:$B$500=A19)/(GlucoseRecords!$E$2:$E$500="食後"),GlucoseRecords!$D$2:$D$500),"")</x:f>
      </x:c>
      <x:c r="I19" t="str">
        <x:f>IFERROR(LOOKUP(2,1/(GlucoseRecords!$B$2:$B$500=A19),GlucoseRecords!$D$2:$D$500),"")</x:f>
      </x:c>
      <x:c r="J19" t="str">
        <x:f>IFERROR(LOOKUP(2,1/(WeightRecords!$B$2:$B$500=A19),WeightRecords!$F$2:$F$500),"")</x:f>
      </x:c>
      <x:c r="K19" t="str">
        <x:f>IFERROR(LOOKUP(2,1/(GlucoseRecords!$B$2:$B$500=A19),GlucoseRecords!$G$2:$G$500),"")</x:f>
      </x:c>
      <x:c r="L19"/>
      <x:c r="M19"/>
    </x:row>
    <x:row r="20">
      <x:c r="A20" t="n">
        <x:v>46132</x:v>
      </x:c>
      <x:c r="B20" t="str">
        <x:f>IFERROR(LOOKUP(2,1/(WeightRecords!$B$2:$B$500=A20)/(WeightRecords!$C$2:$C$500="朝"),WeightRecords!$D$2:$D$500),"")</x:f>
      </x:c>
      <x:c r="C20" t="str">
        <x:f>IFERROR(LOOKUP(2,1/(WeightRecords!$B$2:$B$500=A20)/(WeightRecords!$C$2:$C$500="夜"),WeightRecords!$D$2:$D$500),"")</x:f>
      </x:c>
      <x:c r="D20" t="str">
        <x:f>IFERROR(LOOKUP(2,1/(WeightRecords!$B$2:$B$500=A20),WeightRecords!$D$2:$D$500),"")</x:f>
      </x:c>
      <x:c r="E20" t="str">
        <x:f>IFERROR(LOOKUP(2,1/(StepDaily!$A$2:$A$500=A20),StepDaily!$B$2:$B$500),"")</x:f>
      </x:c>
      <x:c r="F20" t="str">
        <x:f>IFERROR(LOOKUP(2,1/(GlucoseRecords!$B$2:$B$500=A20)/(GlucoseRecords!$E$2:$E$500="空腹時"),GlucoseRecords!$D$2:$D$500),"")</x:f>
      </x:c>
      <x:c r="G20" t="str">
        <x:f>IFERROR(LOOKUP(2,1/(GlucoseRecords!$B$2:$B$500=A20)/(GlucoseRecords!$E$2:$E$500="食前"),GlucoseRecords!$D$2:$D$500),"")</x:f>
      </x:c>
      <x:c r="H20" t="str">
        <x:f>IFERROR(LOOKUP(2,1/(GlucoseRecords!$B$2:$B$500=A20)/(GlucoseRecords!$E$2:$E$500="食後"),GlucoseRecords!$D$2:$D$500),"")</x:f>
      </x:c>
      <x:c r="I20" t="str">
        <x:f>IFERROR(LOOKUP(2,1/(GlucoseRecords!$B$2:$B$500=A20),GlucoseRecords!$D$2:$D$500),"")</x:f>
      </x:c>
      <x:c r="J20" t="str">
        <x:f>IFERROR(LOOKUP(2,1/(WeightRecords!$B$2:$B$500=A20),WeightRecords!$F$2:$F$500),"")</x:f>
      </x:c>
      <x:c r="K20" t="str">
        <x:f>IFERROR(LOOKUP(2,1/(GlucoseRecords!$B$2:$B$500=A20),GlucoseRecords!$G$2:$G$500),"")</x:f>
      </x:c>
      <x:c r="L20"/>
      <x:c r="M20"/>
    </x:row>
    <x:row r="21">
      <x:c r="A21" t="n">
        <x:v>46131</x:v>
      </x:c>
      <x:c r="B21" t="str">
        <x:f>IFERROR(LOOKUP(2,1/(WeightRecords!$B$2:$B$500=A21)/(WeightRecords!$C$2:$C$500="朝"),WeightRecords!$D$2:$D$500),"")</x:f>
      </x:c>
      <x:c r="C21" t="str">
        <x:f>IFERROR(LOOKUP(2,1/(WeightRecords!$B$2:$B$500=A21)/(WeightRecords!$C$2:$C$500="夜"),WeightRecords!$D$2:$D$500),"")</x:f>
      </x:c>
      <x:c r="D21" t="str">
        <x:f>IFERROR(LOOKUP(2,1/(WeightRecords!$B$2:$B$500=A21),WeightRecords!$D$2:$D$500),"")</x:f>
      </x:c>
      <x:c r="E21" t="str">
        <x:f>IFERROR(LOOKUP(2,1/(StepDaily!$A$2:$A$500=A21),StepDaily!$B$2:$B$500),"")</x:f>
      </x:c>
      <x:c r="F21" t="str">
        <x:f>IFERROR(LOOKUP(2,1/(GlucoseRecords!$B$2:$B$500=A21)/(GlucoseRecords!$E$2:$E$500="空腹時"),GlucoseRecords!$D$2:$D$500),"")</x:f>
      </x:c>
      <x:c r="G21" t="str">
        <x:f>IFERROR(LOOKUP(2,1/(GlucoseRecords!$B$2:$B$500=A21)/(GlucoseRecords!$E$2:$E$500="食前"),GlucoseRecords!$D$2:$D$500),"")</x:f>
      </x:c>
      <x:c r="H21" t="str">
        <x:f>IFERROR(LOOKUP(2,1/(GlucoseRecords!$B$2:$B$500=A21)/(GlucoseRecords!$E$2:$E$500="食後"),GlucoseRecords!$D$2:$D$500),"")</x:f>
      </x:c>
      <x:c r="I21" t="str">
        <x:f>IFERROR(LOOKUP(2,1/(GlucoseRecords!$B$2:$B$500=A21),GlucoseRecords!$D$2:$D$500),"")</x:f>
      </x:c>
      <x:c r="J21" t="str">
        <x:f>IFERROR(LOOKUP(2,1/(WeightRecords!$B$2:$B$500=A21),WeightRecords!$F$2:$F$500),"")</x:f>
      </x:c>
      <x:c r="K21" t="str">
        <x:f>IFERROR(LOOKUP(2,1/(GlucoseRecords!$B$2:$B$500=A21),GlucoseRecords!$G$2:$G$500),"")</x:f>
      </x:c>
      <x:c r="L21"/>
      <x:c r="M21"/>
    </x:row>
    <x:row r="22">
      <x:c r="A22" t="n">
        <x:v>46130</x:v>
      </x:c>
      <x:c r="B22" t="str">
        <x:f>IFERROR(LOOKUP(2,1/(WeightRecords!$B$2:$B$500=A22)/(WeightRecords!$C$2:$C$500="朝"),WeightRecords!$D$2:$D$500),"")</x:f>
      </x:c>
      <x:c r="C22" t="str">
        <x:f>IFERROR(LOOKUP(2,1/(WeightRecords!$B$2:$B$500=A22)/(WeightRecords!$C$2:$C$500="夜"),WeightRecords!$D$2:$D$500),"")</x:f>
      </x:c>
      <x:c r="D22" t="str">
        <x:f>IFERROR(LOOKUP(2,1/(WeightRecords!$B$2:$B$500=A22),WeightRecords!$D$2:$D$500),"")</x:f>
      </x:c>
      <x:c r="E22" t="str">
        <x:f>IFERROR(LOOKUP(2,1/(StepDaily!$A$2:$A$500=A22),StepDaily!$B$2:$B$500),"")</x:f>
      </x:c>
      <x:c r="F22" t="str">
        <x:f>IFERROR(LOOKUP(2,1/(GlucoseRecords!$B$2:$B$500=A22)/(GlucoseRecords!$E$2:$E$500="空腹時"),GlucoseRecords!$D$2:$D$500),"")</x:f>
      </x:c>
      <x:c r="G22" t="str">
        <x:f>IFERROR(LOOKUP(2,1/(GlucoseRecords!$B$2:$B$500=A22)/(GlucoseRecords!$E$2:$E$500="食前"),GlucoseRecords!$D$2:$D$500),"")</x:f>
      </x:c>
      <x:c r="H22" t="str">
        <x:f>IFERROR(LOOKUP(2,1/(GlucoseRecords!$B$2:$B$500=A22)/(GlucoseRecords!$E$2:$E$500="食後"),GlucoseRecords!$D$2:$D$500),"")</x:f>
      </x:c>
      <x:c r="I22" t="str">
        <x:f>IFERROR(LOOKUP(2,1/(GlucoseRecords!$B$2:$B$500=A22),GlucoseRecords!$D$2:$D$500),"")</x:f>
      </x:c>
      <x:c r="J22" t="str">
        <x:f>IFERROR(LOOKUP(2,1/(WeightRecords!$B$2:$B$500=A22),WeightRecords!$F$2:$F$500),"")</x:f>
      </x:c>
      <x:c r="K22" t="str">
        <x:f>IFERROR(LOOKUP(2,1/(GlucoseRecords!$B$2:$B$500=A22),GlucoseRecords!$G$2:$G$500),"")</x:f>
      </x:c>
      <x:c r="L22"/>
      <x:c r="M22"/>
    </x:row>
    <x:row r="23">
      <x:c r="A23" t="n">
        <x:v>46129</x:v>
      </x:c>
      <x:c r="B23" t="str">
        <x:f>IFERROR(LOOKUP(2,1/(WeightRecords!$B$2:$B$500=A23)/(WeightRecords!$C$2:$C$500="朝"),WeightRecords!$D$2:$D$500),"")</x:f>
      </x:c>
      <x:c r="C23" t="str">
        <x:f>IFERROR(LOOKUP(2,1/(WeightRecords!$B$2:$B$500=A23)/(WeightRecords!$C$2:$C$500="夜"),WeightRecords!$D$2:$D$500),"")</x:f>
      </x:c>
      <x:c r="D23" t="str">
        <x:f>IFERROR(LOOKUP(2,1/(WeightRecords!$B$2:$B$500=A23),WeightRecords!$D$2:$D$500),"")</x:f>
      </x:c>
      <x:c r="E23" t="str">
        <x:f>IFERROR(LOOKUP(2,1/(StepDaily!$A$2:$A$500=A23),StepDaily!$B$2:$B$500),"")</x:f>
      </x:c>
      <x:c r="F23" t="str">
        <x:f>IFERROR(LOOKUP(2,1/(GlucoseRecords!$B$2:$B$500=A23)/(GlucoseRecords!$E$2:$E$500="空腹時"),GlucoseRecords!$D$2:$D$500),"")</x:f>
      </x:c>
      <x:c r="G23" t="str">
        <x:f>IFERROR(LOOKUP(2,1/(GlucoseRecords!$B$2:$B$500=A23)/(GlucoseRecords!$E$2:$E$500="食前"),GlucoseRecords!$D$2:$D$500),"")</x:f>
      </x:c>
      <x:c r="H23" t="str">
        <x:f>IFERROR(LOOKUP(2,1/(GlucoseRecords!$B$2:$B$500=A23)/(GlucoseRecords!$E$2:$E$500="食後"),GlucoseRecords!$D$2:$D$500),"")</x:f>
      </x:c>
      <x:c r="I23" t="str">
        <x:f>IFERROR(LOOKUP(2,1/(GlucoseRecords!$B$2:$B$500=A23),GlucoseRecords!$D$2:$D$500),"")</x:f>
      </x:c>
      <x:c r="J23" t="str">
        <x:f>IFERROR(LOOKUP(2,1/(WeightRecords!$B$2:$B$500=A23),WeightRecords!$F$2:$F$500),"")</x:f>
      </x:c>
      <x:c r="K23" t="str">
        <x:f>IFERROR(LOOKUP(2,1/(GlucoseRecords!$B$2:$B$500=A23),GlucoseRecords!$G$2:$G$500),"")</x:f>
      </x:c>
      <x:c r="L23"/>
      <x:c r="M23"/>
    </x:row>
    <x:row r="24">
      <x:c r="A24" t="n">
        <x:v>46128</x:v>
      </x:c>
      <x:c r="B24" t="str">
        <x:f>IFERROR(LOOKUP(2,1/(WeightRecords!$B$2:$B$500=A24)/(WeightRecords!$C$2:$C$500="朝"),WeightRecords!$D$2:$D$500),"")</x:f>
      </x:c>
      <x:c r="C24" t="str">
        <x:f>IFERROR(LOOKUP(2,1/(WeightRecords!$B$2:$B$500=A24)/(WeightRecords!$C$2:$C$500="夜"),WeightRecords!$D$2:$D$500),"")</x:f>
      </x:c>
      <x:c r="D24" t="str">
        <x:f>IFERROR(LOOKUP(2,1/(WeightRecords!$B$2:$B$500=A24),WeightRecords!$D$2:$D$500),"")</x:f>
      </x:c>
      <x:c r="E24" t="str">
        <x:f>IFERROR(LOOKUP(2,1/(StepDaily!$A$2:$A$500=A24),StepDaily!$B$2:$B$500),"")</x:f>
      </x:c>
      <x:c r="F24" t="str">
        <x:f>IFERROR(LOOKUP(2,1/(GlucoseRecords!$B$2:$B$500=A24)/(GlucoseRecords!$E$2:$E$500="空腹時"),GlucoseRecords!$D$2:$D$500),"")</x:f>
      </x:c>
      <x:c r="G24" t="str">
        <x:f>IFERROR(LOOKUP(2,1/(GlucoseRecords!$B$2:$B$500=A24)/(GlucoseRecords!$E$2:$E$500="食前"),GlucoseRecords!$D$2:$D$500),"")</x:f>
      </x:c>
      <x:c r="H24" t="str">
        <x:f>IFERROR(LOOKUP(2,1/(GlucoseRecords!$B$2:$B$500=A24)/(GlucoseRecords!$E$2:$E$500="食後"),GlucoseRecords!$D$2:$D$500),"")</x:f>
      </x:c>
      <x:c r="I24" t="str">
        <x:f>IFERROR(LOOKUP(2,1/(GlucoseRecords!$B$2:$B$500=A24),GlucoseRecords!$D$2:$D$500),"")</x:f>
      </x:c>
      <x:c r="J24" t="str">
        <x:f>IFERROR(LOOKUP(2,1/(WeightRecords!$B$2:$B$500=A24),WeightRecords!$F$2:$F$500),"")</x:f>
      </x:c>
      <x:c r="K24" t="str">
        <x:f>IFERROR(LOOKUP(2,1/(GlucoseRecords!$B$2:$B$500=A24),GlucoseRecords!$G$2:$G$500),"")</x:f>
      </x:c>
      <x:c r="L24"/>
      <x:c r="M24"/>
    </x:row>
    <x:row r="25">
      <x:c r="A25" t="n">
        <x:v>46127</x:v>
      </x:c>
      <x:c r="B25" t="str">
        <x:f>IFERROR(LOOKUP(2,1/(WeightRecords!$B$2:$B$500=A25)/(WeightRecords!$C$2:$C$500="朝"),WeightRecords!$D$2:$D$500),"")</x:f>
      </x:c>
      <x:c r="C25" t="str">
        <x:f>IFERROR(LOOKUP(2,1/(WeightRecords!$B$2:$B$500=A25)/(WeightRecords!$C$2:$C$500="夜"),WeightRecords!$D$2:$D$500),"")</x:f>
      </x:c>
      <x:c r="D25" t="str">
        <x:f>IFERROR(LOOKUP(2,1/(WeightRecords!$B$2:$B$500=A25),WeightRecords!$D$2:$D$500),"")</x:f>
      </x:c>
      <x:c r="E25" t="str">
        <x:f>IFERROR(LOOKUP(2,1/(StepDaily!$A$2:$A$500=A25),StepDaily!$B$2:$B$500),"")</x:f>
      </x:c>
      <x:c r="F25" t="str">
        <x:f>IFERROR(LOOKUP(2,1/(GlucoseRecords!$B$2:$B$500=A25)/(GlucoseRecords!$E$2:$E$500="空腹時"),GlucoseRecords!$D$2:$D$500),"")</x:f>
      </x:c>
      <x:c r="G25" t="str">
        <x:f>IFERROR(LOOKUP(2,1/(GlucoseRecords!$B$2:$B$500=A25)/(GlucoseRecords!$E$2:$E$500="食前"),GlucoseRecords!$D$2:$D$500),"")</x:f>
      </x:c>
      <x:c r="H25" t="str">
        <x:f>IFERROR(LOOKUP(2,1/(GlucoseRecords!$B$2:$B$500=A25)/(GlucoseRecords!$E$2:$E$500="食後"),GlucoseRecords!$D$2:$D$500),"")</x:f>
      </x:c>
      <x:c r="I25" t="str">
        <x:f>IFERROR(LOOKUP(2,1/(GlucoseRecords!$B$2:$B$500=A25),GlucoseRecords!$D$2:$D$500),"")</x:f>
      </x:c>
      <x:c r="J25" t="str">
        <x:f>IFERROR(LOOKUP(2,1/(WeightRecords!$B$2:$B$500=A25),WeightRecords!$F$2:$F$500),"")</x:f>
      </x:c>
      <x:c r="K25" t="str">
        <x:f>IFERROR(LOOKUP(2,1/(GlucoseRecords!$B$2:$B$500=A25),GlucoseRecords!$G$2:$G$500),"")</x:f>
      </x:c>
      <x:c r="L25"/>
      <x:c r="M25"/>
    </x:row>
    <x:row r="26">
      <x:c r="A26" t="n">
        <x:v>46126</x:v>
      </x:c>
      <x:c r="B26" t="str">
        <x:f>IFERROR(LOOKUP(2,1/(WeightRecords!$B$2:$B$500=A26)/(WeightRecords!$C$2:$C$500="朝"),WeightRecords!$D$2:$D$500),"")</x:f>
      </x:c>
      <x:c r="C26" t="str">
        <x:f>IFERROR(LOOKUP(2,1/(WeightRecords!$B$2:$B$500=A26)/(WeightRecords!$C$2:$C$500="夜"),WeightRecords!$D$2:$D$500),"")</x:f>
      </x:c>
      <x:c r="D26" t="str">
        <x:f>IFERROR(LOOKUP(2,1/(WeightRecords!$B$2:$B$500=A26),WeightRecords!$D$2:$D$500),"")</x:f>
      </x:c>
      <x:c r="E26" t="str">
        <x:f>IFERROR(LOOKUP(2,1/(StepDaily!$A$2:$A$500=A26),StepDaily!$B$2:$B$500),"")</x:f>
      </x:c>
      <x:c r="F26" t="str">
        <x:f>IFERROR(LOOKUP(2,1/(GlucoseRecords!$B$2:$B$500=A26)/(GlucoseRecords!$E$2:$E$500="空腹時"),GlucoseRecords!$D$2:$D$500),"")</x:f>
      </x:c>
      <x:c r="G26" t="str">
        <x:f>IFERROR(LOOKUP(2,1/(GlucoseRecords!$B$2:$B$500=A26)/(GlucoseRecords!$E$2:$E$500="食前"),GlucoseRecords!$D$2:$D$500),"")</x:f>
      </x:c>
      <x:c r="H26" t="str">
        <x:f>IFERROR(LOOKUP(2,1/(GlucoseRecords!$B$2:$B$500=A26)/(GlucoseRecords!$E$2:$E$500="食後"),GlucoseRecords!$D$2:$D$500),"")</x:f>
      </x:c>
      <x:c r="I26" t="str">
        <x:f>IFERROR(LOOKUP(2,1/(GlucoseRecords!$B$2:$B$500=A26),GlucoseRecords!$D$2:$D$500),"")</x:f>
      </x:c>
      <x:c r="J26" t="str">
        <x:f>IFERROR(LOOKUP(2,1/(WeightRecords!$B$2:$B$500=A26),WeightRecords!$F$2:$F$500),"")</x:f>
      </x:c>
      <x:c r="K26" t="str">
        <x:f>IFERROR(LOOKUP(2,1/(GlucoseRecords!$B$2:$B$500=A26),GlucoseRecords!$G$2:$G$500),"")</x:f>
      </x:c>
      <x:c r="L26"/>
      <x:c r="M26"/>
    </x:row>
    <x:row r="27">
      <x:c r="A27" t="n">
        <x:v>46125</x:v>
      </x:c>
      <x:c r="B27" t="str">
        <x:f>IFERROR(LOOKUP(2,1/(WeightRecords!$B$2:$B$500=A27)/(WeightRecords!$C$2:$C$500="朝"),WeightRecords!$D$2:$D$500),"")</x:f>
      </x:c>
      <x:c r="C27" t="str">
        <x:f>IFERROR(LOOKUP(2,1/(WeightRecords!$B$2:$B$500=A27)/(WeightRecords!$C$2:$C$500="夜"),WeightRecords!$D$2:$D$500),"")</x:f>
      </x:c>
      <x:c r="D27" t="str">
        <x:f>IFERROR(LOOKUP(2,1/(WeightRecords!$B$2:$B$500=A27),WeightRecords!$D$2:$D$500),"")</x:f>
      </x:c>
      <x:c r="E27" t="str">
        <x:f>IFERROR(LOOKUP(2,1/(StepDaily!$A$2:$A$500=A27),StepDaily!$B$2:$B$500),"")</x:f>
      </x:c>
      <x:c r="F27" t="str">
        <x:f>IFERROR(LOOKUP(2,1/(GlucoseRecords!$B$2:$B$500=A27)/(GlucoseRecords!$E$2:$E$500="空腹時"),GlucoseRecords!$D$2:$D$500),"")</x:f>
      </x:c>
      <x:c r="G27" t="str">
        <x:f>IFERROR(LOOKUP(2,1/(GlucoseRecords!$B$2:$B$500=A27)/(GlucoseRecords!$E$2:$E$500="食前"),GlucoseRecords!$D$2:$D$500),"")</x:f>
      </x:c>
      <x:c r="H27" t="str">
        <x:f>IFERROR(LOOKUP(2,1/(GlucoseRecords!$B$2:$B$500=A27)/(GlucoseRecords!$E$2:$E$500="食後"),GlucoseRecords!$D$2:$D$500),"")</x:f>
      </x:c>
      <x:c r="I27" t="str">
        <x:f>IFERROR(LOOKUP(2,1/(GlucoseRecords!$B$2:$B$500=A27),GlucoseRecords!$D$2:$D$500),"")</x:f>
      </x:c>
      <x:c r="J27" t="str">
        <x:f>IFERROR(LOOKUP(2,1/(WeightRecords!$B$2:$B$500=A27),WeightRecords!$F$2:$F$500),"")</x:f>
      </x:c>
      <x:c r="K27" t="str">
        <x:f>IFERROR(LOOKUP(2,1/(GlucoseRecords!$B$2:$B$500=A27),GlucoseRecords!$G$2:$G$500),"")</x:f>
      </x:c>
      <x:c r="L27"/>
      <x:c r="M27"/>
    </x:row>
    <x:row r="28">
      <x:c r="A28" t="n">
        <x:v>46124</x:v>
      </x:c>
      <x:c r="B28" t="str">
        <x:f>IFERROR(LOOKUP(2,1/(WeightRecords!$B$2:$B$500=A28)/(WeightRecords!$C$2:$C$500="朝"),WeightRecords!$D$2:$D$500),"")</x:f>
      </x:c>
      <x:c r="C28" t="str">
        <x:f>IFERROR(LOOKUP(2,1/(WeightRecords!$B$2:$B$500=A28)/(WeightRecords!$C$2:$C$500="夜"),WeightRecords!$D$2:$D$500),"")</x:f>
      </x:c>
      <x:c r="D28" t="str">
        <x:f>IFERROR(LOOKUP(2,1/(WeightRecords!$B$2:$B$500=A28),WeightRecords!$D$2:$D$500),"")</x:f>
      </x:c>
      <x:c r="E28" t="str">
        <x:f>IFERROR(LOOKUP(2,1/(StepDaily!$A$2:$A$500=A28),StepDaily!$B$2:$B$500),"")</x:f>
      </x:c>
      <x:c r="F28" t="str">
        <x:f>IFERROR(LOOKUP(2,1/(GlucoseRecords!$B$2:$B$500=A28)/(GlucoseRecords!$E$2:$E$500="空腹時"),GlucoseRecords!$D$2:$D$500),"")</x:f>
      </x:c>
      <x:c r="G28" t="str">
        <x:f>IFERROR(LOOKUP(2,1/(GlucoseRecords!$B$2:$B$500=A28)/(GlucoseRecords!$E$2:$E$500="食前"),GlucoseRecords!$D$2:$D$500),"")</x:f>
      </x:c>
      <x:c r="H28" t="str">
        <x:f>IFERROR(LOOKUP(2,1/(GlucoseRecords!$B$2:$B$500=A28)/(GlucoseRecords!$E$2:$E$500="食後"),GlucoseRecords!$D$2:$D$500),"")</x:f>
      </x:c>
      <x:c r="I28" t="str">
        <x:f>IFERROR(LOOKUP(2,1/(GlucoseRecords!$B$2:$B$500=A28),GlucoseRecords!$D$2:$D$500),"")</x:f>
      </x:c>
      <x:c r="J28" t="str">
        <x:f>IFERROR(LOOKUP(2,1/(WeightRecords!$B$2:$B$500=A28),WeightRecords!$F$2:$F$500),"")</x:f>
      </x:c>
      <x:c r="K28" t="str">
        <x:f>IFERROR(LOOKUP(2,1/(GlucoseRecords!$B$2:$B$500=A28),GlucoseRecords!$G$2:$G$500),"")</x:f>
      </x:c>
      <x:c r="L28"/>
      <x:c r="M28"/>
    </x:row>
    <x:row r="29">
      <x:c r="A29" t="n">
        <x:v>46123</x:v>
      </x:c>
      <x:c r="B29" t="str">
        <x:f>IFERROR(LOOKUP(2,1/(WeightRecords!$B$2:$B$500=A29)/(WeightRecords!$C$2:$C$500="朝"),WeightRecords!$D$2:$D$500),"")</x:f>
      </x:c>
      <x:c r="C29" t="str">
        <x:f>IFERROR(LOOKUP(2,1/(WeightRecords!$B$2:$B$500=A29)/(WeightRecords!$C$2:$C$500="夜"),WeightRecords!$D$2:$D$500),"")</x:f>
      </x:c>
      <x:c r="D29" t="str">
        <x:f>IFERROR(LOOKUP(2,1/(WeightRecords!$B$2:$B$500=A29),WeightRecords!$D$2:$D$500),"")</x:f>
      </x:c>
      <x:c r="E29" t="str">
        <x:f>IFERROR(LOOKUP(2,1/(StepDaily!$A$2:$A$500=A29),StepDaily!$B$2:$B$500),"")</x:f>
      </x:c>
      <x:c r="F29" t="str">
        <x:f>IFERROR(LOOKUP(2,1/(GlucoseRecords!$B$2:$B$500=A29)/(GlucoseRecords!$E$2:$E$500="空腹時"),GlucoseRecords!$D$2:$D$500),"")</x:f>
      </x:c>
      <x:c r="G29" t="str">
        <x:f>IFERROR(LOOKUP(2,1/(GlucoseRecords!$B$2:$B$500=A29)/(GlucoseRecords!$E$2:$E$500="食前"),GlucoseRecords!$D$2:$D$500),"")</x:f>
      </x:c>
      <x:c r="H29" t="str">
        <x:f>IFERROR(LOOKUP(2,1/(GlucoseRecords!$B$2:$B$500=A29)/(GlucoseRecords!$E$2:$E$500="食後"),GlucoseRecords!$D$2:$D$500),"")</x:f>
      </x:c>
      <x:c r="I29" t="str">
        <x:f>IFERROR(LOOKUP(2,1/(GlucoseRecords!$B$2:$B$500=A29),GlucoseRecords!$D$2:$D$500),"")</x:f>
      </x:c>
      <x:c r="J29" t="str">
        <x:f>IFERROR(LOOKUP(2,1/(WeightRecords!$B$2:$B$500=A29),WeightRecords!$F$2:$F$500),"")</x:f>
      </x:c>
      <x:c r="K29" t="str">
        <x:f>IFERROR(LOOKUP(2,1/(GlucoseRecords!$B$2:$B$500=A29),GlucoseRecords!$G$2:$G$500),"")</x:f>
      </x:c>
      <x:c r="L29"/>
      <x:c r="M29"/>
    </x:row>
    <x:row r="30">
      <x:c r="A30" t="n">
        <x:v>46122</x:v>
      </x:c>
      <x:c r="B30" t="str">
        <x:f>IFERROR(LOOKUP(2,1/(WeightRecords!$B$2:$B$500=A30)/(WeightRecords!$C$2:$C$500="朝"),WeightRecords!$D$2:$D$500),"")</x:f>
      </x:c>
      <x:c r="C30" t="str">
        <x:f>IFERROR(LOOKUP(2,1/(WeightRecords!$B$2:$B$500=A30)/(WeightRecords!$C$2:$C$500="夜"),WeightRecords!$D$2:$D$500),"")</x:f>
      </x:c>
      <x:c r="D30" t="str">
        <x:f>IFERROR(LOOKUP(2,1/(WeightRecords!$B$2:$B$500=A30),WeightRecords!$D$2:$D$500),"")</x:f>
      </x:c>
      <x:c r="E30" t="str">
        <x:f>IFERROR(LOOKUP(2,1/(StepDaily!$A$2:$A$500=A30),StepDaily!$B$2:$B$500),"")</x:f>
      </x:c>
      <x:c r="F30" t="str">
        <x:f>IFERROR(LOOKUP(2,1/(GlucoseRecords!$B$2:$B$500=A30)/(GlucoseRecords!$E$2:$E$500="空腹時"),GlucoseRecords!$D$2:$D$500),"")</x:f>
      </x:c>
      <x:c r="G30" t="str">
        <x:f>IFERROR(LOOKUP(2,1/(GlucoseRecords!$B$2:$B$500=A30)/(GlucoseRecords!$E$2:$E$500="食前"),GlucoseRecords!$D$2:$D$500),"")</x:f>
      </x:c>
      <x:c r="H30" t="str">
        <x:f>IFERROR(LOOKUP(2,1/(GlucoseRecords!$B$2:$B$500=A30)/(GlucoseRecords!$E$2:$E$500="食後"),GlucoseRecords!$D$2:$D$500),"")</x:f>
      </x:c>
      <x:c r="I30" t="str">
        <x:f>IFERROR(LOOKUP(2,1/(GlucoseRecords!$B$2:$B$500=A30),GlucoseRecords!$D$2:$D$500),"")</x:f>
      </x:c>
      <x:c r="J30" t="str">
        <x:f>IFERROR(LOOKUP(2,1/(WeightRecords!$B$2:$B$500=A30),WeightRecords!$F$2:$F$500),"")</x:f>
      </x:c>
      <x:c r="K30" t="str">
        <x:f>IFERROR(LOOKUP(2,1/(GlucoseRecords!$B$2:$B$500=A30),GlucoseRecords!$G$2:$G$500),"")</x:f>
      </x:c>
      <x:c r="L30"/>
      <x:c r="M30"/>
    </x:row>
    <x:row r="31">
      <x:c r="A31" t="n">
        <x:v>46121</x:v>
      </x:c>
      <x:c r="B31" t="str">
        <x:f>IFERROR(LOOKUP(2,1/(WeightRecords!$B$2:$B$500=A31)/(WeightRecords!$C$2:$C$500="朝"),WeightRecords!$D$2:$D$500),"")</x:f>
      </x:c>
      <x:c r="C31" t="str">
        <x:f>IFERROR(LOOKUP(2,1/(WeightRecords!$B$2:$B$500=A31)/(WeightRecords!$C$2:$C$500="夜"),WeightRecords!$D$2:$D$500),"")</x:f>
      </x:c>
      <x:c r="D31" t="str">
        <x:f>IFERROR(LOOKUP(2,1/(WeightRecords!$B$2:$B$500=A31),WeightRecords!$D$2:$D$500),"")</x:f>
      </x:c>
      <x:c r="E31" t="str">
        <x:f>IFERROR(LOOKUP(2,1/(StepDaily!$A$2:$A$500=A31),StepDaily!$B$2:$B$500),"")</x:f>
      </x:c>
      <x:c r="F31" t="str">
        <x:f>IFERROR(LOOKUP(2,1/(GlucoseRecords!$B$2:$B$500=A31)/(GlucoseRecords!$E$2:$E$500="空腹時"),GlucoseRecords!$D$2:$D$500),"")</x:f>
      </x:c>
      <x:c r="G31" t="str">
        <x:f>IFERROR(LOOKUP(2,1/(GlucoseRecords!$B$2:$B$500=A31)/(GlucoseRecords!$E$2:$E$500="食前"),GlucoseRecords!$D$2:$D$500),"")</x:f>
      </x:c>
      <x:c r="H31" t="str">
        <x:f>IFERROR(LOOKUP(2,1/(GlucoseRecords!$B$2:$B$500=A31)/(GlucoseRecords!$E$2:$E$500="食後"),GlucoseRecords!$D$2:$D$500),"")</x:f>
      </x:c>
      <x:c r="I31" t="str">
        <x:f>IFERROR(LOOKUP(2,1/(GlucoseRecords!$B$2:$B$500=A31),GlucoseRecords!$D$2:$D$500),"")</x:f>
      </x:c>
      <x:c r="J31" t="str">
        <x:f>IFERROR(LOOKUP(2,1/(WeightRecords!$B$2:$B$500=A31),WeightRecords!$F$2:$F$500),"")</x:f>
      </x:c>
      <x:c r="K31" t="str">
        <x:f>IFERROR(LOOKUP(2,1/(GlucoseRecords!$B$2:$B$500=A31),GlucoseRecords!$G$2:$G$500),"")</x:f>
      </x:c>
      <x:c r="L31"/>
      <x:c r="M31"/>
    </x:row>
    <x:row r="32">
      <x:c r="A32" t="n">
        <x:v>46120</x:v>
      </x:c>
      <x:c r="B32" t="str">
        <x:f>IFERROR(LOOKUP(2,1/(WeightRecords!$B$2:$B$500=A32)/(WeightRecords!$C$2:$C$500="朝"),WeightRecords!$D$2:$D$500),"")</x:f>
      </x:c>
      <x:c r="C32" t="str">
        <x:f>IFERROR(LOOKUP(2,1/(WeightRecords!$B$2:$B$500=A32)/(WeightRecords!$C$2:$C$500="夜"),WeightRecords!$D$2:$D$500),"")</x:f>
      </x:c>
      <x:c r="D32" t="str">
        <x:f>IFERROR(LOOKUP(2,1/(WeightRecords!$B$2:$B$500=A32),WeightRecords!$D$2:$D$500),"")</x:f>
      </x:c>
      <x:c r="E32" t="str">
        <x:f>IFERROR(LOOKUP(2,1/(StepDaily!$A$2:$A$500=A32),StepDaily!$B$2:$B$500),"")</x:f>
      </x:c>
      <x:c r="F32" t="str">
        <x:f>IFERROR(LOOKUP(2,1/(GlucoseRecords!$B$2:$B$500=A32)/(GlucoseRecords!$E$2:$E$500="空腹時"),GlucoseRecords!$D$2:$D$500),"")</x:f>
      </x:c>
      <x:c r="G32" t="str">
        <x:f>IFERROR(LOOKUP(2,1/(GlucoseRecords!$B$2:$B$500=A32)/(GlucoseRecords!$E$2:$E$500="食前"),GlucoseRecords!$D$2:$D$500),"")</x:f>
      </x:c>
      <x:c r="H32" t="str">
        <x:f>IFERROR(LOOKUP(2,1/(GlucoseRecords!$B$2:$B$500=A32)/(GlucoseRecords!$E$2:$E$500="食後"),GlucoseRecords!$D$2:$D$500),"")</x:f>
      </x:c>
      <x:c r="I32" t="str">
        <x:f>IFERROR(LOOKUP(2,1/(GlucoseRecords!$B$2:$B$500=A32),GlucoseRecords!$D$2:$D$500),"")</x:f>
      </x:c>
      <x:c r="J32" t="str">
        <x:f>IFERROR(LOOKUP(2,1/(WeightRecords!$B$2:$B$500=A32),WeightRecords!$F$2:$F$500),"")</x:f>
      </x:c>
      <x:c r="K32" t="str">
        <x:f>IFERROR(LOOKUP(2,1/(GlucoseRecords!$B$2:$B$500=A32),GlucoseRecords!$G$2:$G$500),"")</x:f>
      </x:c>
      <x:c r="L32"/>
      <x:c r="M32"/>
    </x:row>
  </x:sheetData>
  <x:pageMargins left="0.7" right="0.7" top="0.75" bottom="0.75" header="0.3" footer="0.3"/>
  <x:drawing xmlns:r="http://schemas.openxmlformats.org/officeDocument/2006/relationships" r:id="Rc9b14d9e3e0540b6"/>
  <x:tableParts count="1">
    <x:tablePart xmlns:r="http://schemas.openxmlformats.org/officeDocument/2006/relationships" r:id="Rca5cf4a63947489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28" hidden="0" customWidth="1"/>
    <x:col min="7" max="7" width="28" hidden="0" customWidth="1"/>
    <x:col min="8" max="8" width="42" hidden="0" customWidth="1"/>
    <x:col min="9" max="9" width="18" hidden="0" customWidth="1"/>
    <x:col min="10" max="10" width="34" hidden="0" customWidth="1"/>
  </x:cols>
  <x:sheetData>
    <x:row r="1" ht="22" customHeight="1">
      <x:c r="A1" s="20" t="str">
        <x:v>measured_at</x:v>
      </x:c>
      <x:c r="B1" s="22" t="str">
        <x:v>target_date</x:v>
      </x:c>
      <x:c r="C1" s="15" t="str">
        <x:v>time_band</x:v>
      </x:c>
      <x:c r="D1" s="24" t="str">
        <x:v>weight_kg</x:v>
      </x:c>
      <x:c r="E1" s="15" t="str">
        <x:v>health_connect_id</x:v>
      </x:c>
      <x:c r="F1" s="15" t="str">
        <x:v>source_app_name</x:v>
      </x:c>
      <x:c r="G1" s="15" t="str">
        <x:v>source_package_name</x:v>
      </x:c>
      <x:c r="H1" s="15" t="str">
        <x:v>overwrite_key</x:v>
      </x:c>
      <x:c r="I1" s="20" t="str">
        <x:v>synced_at</x:v>
      </x:c>
      <x:c r="J1" s="15" t="str">
        <x:v>note</x:v>
      </x:c>
    </x:row>
    <x:row r="2">
      <x:c r="A2" t="n">
        <x:v>46150.291666666664</x:v>
      </x:c>
      <x:c r="B2" t="n">
        <x:v>46150</x:v>
      </x:c>
      <x:c r="C2" t="str">
        <x:v>朝</x:v>
      </x:c>
      <x:c r="D2" t="n">
        <x:v>67.5</x:v>
      </x:c>
      <x:c r="E2" t="str">
        <x:v>sample_health_connect_id</x:v>
      </x:c>
      <x:c r="F2" t="str">
        <x:v>OMRON connect</x:v>
      </x:c>
      <x:c r="G2" t="str">
        <x:v>jp.co.omron.healthcare.omron_connect</x:v>
      </x:c>
      <x:c r="H2" t="str">
        <x:f>TEXT(B2,"yyyy-mm-dd")&amp;"|"&amp;C2&amp;"|"&amp;G2</x:f>
        <x:v>2026-05-08|朝|jp.co.omron.healthcare.omron_connect</x:v>
      </x:c>
      <x:c r="I2" t="str"/>
      <x:c r="J2" t="str">
        <x:v>サンプル行。実運用時は削除可。</x:v>
      </x:c>
    </x:row>
    <x:row r="3">
      <x:c r="H3" t="str">
        <x:f>IF(B3="","",TEXT(B3,"yyyy-mm-dd")&amp;"|"&amp;C3&amp;"|"&amp;G3)</x:f>
      </x:c>
    </x:row>
    <x:row r="4">
      <x:c r="H4"/>
    </x:row>
    <x:row r="5">
      <x:c r="H5"/>
    </x:row>
    <x:row r="6">
      <x:c r="H6"/>
    </x:row>
    <x:row r="7">
      <x:c r="H7"/>
    </x:row>
    <x:row r="8">
      <x:c r="H8"/>
    </x:row>
    <x:row r="9">
      <x:c r="H9"/>
    </x:row>
    <x:row r="10">
      <x:c r="H10"/>
    </x:row>
    <x:row r="11">
      <x:c r="H11"/>
    </x:row>
    <x:row r="12">
      <x:c r="H12"/>
    </x:row>
    <x:row r="13">
      <x:c r="H13"/>
    </x:row>
    <x:row r="14">
      <x:c r="H14"/>
    </x:row>
    <x:row r="15">
      <x:c r="H15"/>
    </x:row>
    <x:row r="16">
      <x:c r="H16"/>
    </x:row>
    <x:row r="17">
      <x:c r="H17"/>
    </x:row>
    <x:row r="18">
      <x:c r="H18"/>
    </x:row>
    <x:row r="19">
      <x:c r="H19"/>
    </x:row>
    <x:row r="20">
      <x:c r="H20"/>
    </x:row>
    <x:row r="21">
      <x:c r="H21"/>
    </x:row>
    <x:row r="22">
      <x:c r="H22"/>
    </x:row>
    <x:row r="23">
      <x:c r="H23"/>
    </x:row>
    <x:row r="24">
      <x:c r="H24"/>
    </x:row>
    <x:row r="25">
      <x:c r="H25"/>
    </x:row>
    <x:row r="26">
      <x:c r="H26"/>
    </x:row>
    <x:row r="27">
      <x:c r="H27"/>
    </x:row>
    <x:row r="28">
      <x:c r="H28"/>
    </x:row>
    <x:row r="29">
      <x:c r="H29"/>
    </x:row>
    <x:row r="30">
      <x:c r="H30"/>
    </x:row>
    <x:row r="31">
      <x:c r="H31"/>
    </x:row>
    <x:row r="32">
      <x:c r="H32"/>
    </x:row>
    <x:row r="33">
      <x:c r="H33"/>
    </x:row>
    <x:row r="34">
      <x:c r="H34"/>
    </x:row>
    <x:row r="35">
      <x:c r="H35"/>
    </x:row>
    <x:row r="36">
      <x:c r="H36"/>
    </x:row>
    <x:row r="37">
      <x:c r="H37"/>
    </x:row>
    <x:row r="38">
      <x:c r="H38"/>
    </x:row>
    <x:row r="39">
      <x:c r="H39"/>
    </x:row>
    <x:row r="40">
      <x:c r="H40"/>
    </x:row>
    <x:row r="41">
      <x:c r="H41"/>
    </x:row>
    <x:row r="42">
      <x:c r="H42"/>
    </x:row>
    <x:row r="43">
      <x:c r="H43"/>
    </x:row>
    <x:row r="44">
      <x:c r="H44"/>
    </x:row>
    <x:row r="45">
      <x:c r="H45"/>
    </x:row>
    <x:row r="46">
      <x:c r="H46"/>
    </x:row>
    <x:row r="47">
      <x:c r="H47"/>
    </x:row>
    <x:row r="48">
      <x:c r="H48"/>
    </x:row>
    <x:row r="49">
      <x:c r="H49"/>
    </x:row>
    <x:row r="50">
      <x:c r="H50"/>
    </x:row>
    <x:row r="51">
      <x:c r="H51"/>
    </x:row>
    <x:row r="52">
      <x:c r="H52"/>
    </x:row>
    <x:row r="53">
      <x:c r="H53"/>
    </x:row>
    <x:row r="54">
      <x:c r="H54"/>
    </x:row>
    <x:row r="55">
      <x:c r="H55"/>
    </x:row>
    <x:row r="56">
      <x:c r="H56"/>
    </x:row>
    <x:row r="57">
      <x:c r="H57"/>
    </x:row>
    <x:row r="58">
      <x:c r="H58"/>
    </x:row>
    <x:row r="59">
      <x:c r="H59"/>
    </x:row>
    <x:row r="60">
      <x:c r="H60"/>
    </x:row>
    <x:row r="61">
      <x:c r="H61"/>
    </x:row>
    <x:row r="62">
      <x:c r="H62"/>
    </x:row>
    <x:row r="63">
      <x:c r="H63"/>
    </x:row>
    <x:row r="64">
      <x:c r="H64"/>
    </x:row>
    <x:row r="65">
      <x:c r="H65"/>
    </x:row>
    <x:row r="66">
      <x:c r="H66"/>
    </x:row>
    <x:row r="67">
      <x:c r="H67"/>
    </x:row>
    <x:row r="68">
      <x:c r="H68"/>
    </x:row>
    <x:row r="69">
      <x:c r="H69"/>
    </x:row>
    <x:row r="70">
      <x:c r="H70"/>
    </x:row>
    <x:row r="71">
      <x:c r="H71"/>
    </x:row>
    <x:row r="72">
      <x:c r="H72"/>
    </x:row>
    <x:row r="73">
      <x:c r="H73"/>
    </x:row>
    <x:row r="74">
      <x:c r="H74"/>
    </x:row>
    <x:row r="75">
      <x:c r="H75"/>
    </x:row>
    <x:row r="76">
      <x:c r="H76"/>
    </x:row>
    <x:row r="77">
      <x:c r="H77"/>
    </x:row>
    <x:row r="78">
      <x:c r="H78"/>
    </x:row>
    <x:row r="79">
      <x:c r="H79"/>
    </x:row>
    <x:row r="80">
      <x:c r="H80"/>
    </x:row>
    <x:row r="81">
      <x:c r="H81"/>
    </x:row>
    <x:row r="82">
      <x:c r="H82"/>
    </x:row>
    <x:row r="83">
      <x:c r="H83"/>
    </x:row>
    <x:row r="84">
      <x:c r="H84"/>
    </x:row>
    <x:row r="85">
      <x:c r="H85"/>
    </x:row>
    <x:row r="86">
      <x:c r="H86"/>
    </x:row>
    <x:row r="87">
      <x:c r="H87"/>
    </x:row>
    <x:row r="88">
      <x:c r="H88"/>
    </x:row>
    <x:row r="89">
      <x:c r="H89"/>
    </x:row>
    <x:row r="90">
      <x:c r="H90"/>
    </x:row>
    <x:row r="91">
      <x:c r="H91"/>
    </x:row>
    <x:row r="92">
      <x:c r="H92"/>
    </x:row>
    <x:row r="93">
      <x:c r="H93"/>
    </x:row>
    <x:row r="94">
      <x:c r="H94"/>
    </x:row>
    <x:row r="95">
      <x:c r="H95"/>
    </x:row>
    <x:row r="96">
      <x:c r="H96"/>
    </x:row>
    <x:row r="97">
      <x:c r="H97"/>
    </x:row>
    <x:row r="98">
      <x:c r="H98"/>
    </x:row>
    <x:row r="99">
      <x:c r="H99"/>
    </x:row>
    <x:row r="100">
      <x:c r="H100"/>
    </x:row>
    <x:row r="101">
      <x:c r="H101"/>
    </x:row>
    <x:row r="102">
      <x:c r="H102"/>
    </x:row>
    <x:row r="103">
      <x:c r="H103"/>
    </x:row>
    <x:row r="104">
      <x:c r="H104"/>
    </x:row>
    <x:row r="105">
      <x:c r="H105"/>
    </x:row>
    <x:row r="106">
      <x:c r="H106"/>
    </x:row>
    <x:row r="107">
      <x:c r="H107"/>
    </x:row>
    <x:row r="108">
      <x:c r="H108"/>
    </x:row>
    <x:row r="109">
      <x:c r="H109"/>
    </x:row>
    <x:row r="110">
      <x:c r="H110"/>
    </x:row>
    <x:row r="111">
      <x:c r="H111"/>
    </x:row>
    <x:row r="112">
      <x:c r="H112"/>
    </x:row>
    <x:row r="113">
      <x:c r="H113"/>
    </x:row>
    <x:row r="114">
      <x:c r="H114"/>
    </x:row>
    <x:row r="115">
      <x:c r="H115"/>
    </x:row>
    <x:row r="116">
      <x:c r="H116"/>
    </x:row>
    <x:row r="117">
      <x:c r="H117"/>
    </x:row>
    <x:row r="118">
      <x:c r="H118"/>
    </x:row>
    <x:row r="119">
      <x:c r="H119"/>
    </x:row>
    <x:row r="120">
      <x:c r="H120"/>
    </x:row>
    <x:row r="121">
      <x:c r="H121"/>
    </x:row>
    <x:row r="122">
      <x:c r="H122"/>
    </x:row>
    <x:row r="123">
      <x:c r="H123"/>
    </x:row>
    <x:row r="124">
      <x:c r="H124"/>
    </x:row>
    <x:row r="125">
      <x:c r="H125"/>
    </x:row>
    <x:row r="126">
      <x:c r="H126"/>
    </x:row>
    <x:row r="127">
      <x:c r="H127"/>
    </x:row>
    <x:row r="128">
      <x:c r="H128"/>
    </x:row>
    <x:row r="129">
      <x:c r="H129"/>
    </x:row>
    <x:row r="130">
      <x:c r="H130"/>
    </x:row>
    <x:row r="131">
      <x:c r="H131"/>
    </x:row>
    <x:row r="132">
      <x:c r="H132"/>
    </x:row>
    <x:row r="133">
      <x:c r="H133"/>
    </x:row>
    <x:row r="134">
      <x:c r="H134"/>
    </x:row>
    <x:row r="135">
      <x:c r="H135"/>
    </x:row>
    <x:row r="136">
      <x:c r="H136"/>
    </x:row>
    <x:row r="137">
      <x:c r="H137"/>
    </x:row>
    <x:row r="138">
      <x:c r="H138"/>
    </x:row>
    <x:row r="139">
      <x:c r="H139"/>
    </x:row>
    <x:row r="140">
      <x:c r="H140"/>
    </x:row>
    <x:row r="141">
      <x:c r="H141"/>
    </x:row>
    <x:row r="142">
      <x:c r="H142"/>
    </x:row>
    <x:row r="143">
      <x:c r="H143"/>
    </x:row>
    <x:row r="144">
      <x:c r="H144"/>
    </x:row>
    <x:row r="145">
      <x:c r="H145"/>
    </x:row>
    <x:row r="146">
      <x:c r="H146"/>
    </x:row>
    <x:row r="147">
      <x:c r="H147"/>
    </x:row>
    <x:row r="148">
      <x:c r="H148"/>
    </x:row>
    <x:row r="149">
      <x:c r="H149"/>
    </x:row>
    <x:row r="150">
      <x:c r="H150"/>
    </x:row>
    <x:row r="151">
      <x:c r="H151"/>
    </x:row>
    <x:row r="152">
      <x:c r="H152"/>
    </x:row>
    <x:row r="153">
      <x:c r="H153"/>
    </x:row>
    <x:row r="154">
      <x:c r="H154"/>
    </x:row>
    <x:row r="155">
      <x:c r="H155"/>
    </x:row>
    <x:row r="156">
      <x:c r="H156"/>
    </x:row>
    <x:row r="157">
      <x:c r="H157"/>
    </x:row>
    <x:row r="158">
      <x:c r="H158"/>
    </x:row>
    <x:row r="159">
      <x:c r="H159"/>
    </x:row>
    <x:row r="160">
      <x:c r="H160"/>
    </x:row>
    <x:row r="161">
      <x:c r="H161"/>
    </x:row>
    <x:row r="162">
      <x:c r="H162"/>
    </x:row>
    <x:row r="163">
      <x:c r="H163"/>
    </x:row>
    <x:row r="164">
      <x:c r="H164"/>
    </x:row>
    <x:row r="165">
      <x:c r="H165"/>
    </x:row>
    <x:row r="166">
      <x:c r="H166"/>
    </x:row>
    <x:row r="167">
      <x:c r="H167"/>
    </x:row>
    <x:row r="168">
      <x:c r="H168"/>
    </x:row>
    <x:row r="169">
      <x:c r="H169"/>
    </x:row>
    <x:row r="170">
      <x:c r="H170"/>
    </x:row>
    <x:row r="171">
      <x:c r="H171"/>
    </x:row>
    <x:row r="172">
      <x:c r="H172"/>
    </x:row>
    <x:row r="173">
      <x:c r="H173"/>
    </x:row>
    <x:row r="174">
      <x:c r="H174"/>
    </x:row>
    <x:row r="175">
      <x:c r="H175"/>
    </x:row>
    <x:row r="176">
      <x:c r="H176"/>
    </x:row>
    <x:row r="177">
      <x:c r="H177"/>
    </x:row>
    <x:row r="178">
      <x:c r="H178"/>
    </x:row>
    <x:row r="179">
      <x:c r="H179"/>
    </x:row>
    <x:row r="180">
      <x:c r="H180"/>
    </x:row>
    <x:row r="181">
      <x:c r="H181"/>
    </x:row>
    <x:row r="182">
      <x:c r="H182"/>
    </x:row>
    <x:row r="183">
      <x:c r="H183"/>
    </x:row>
    <x:row r="184">
      <x:c r="H184"/>
    </x:row>
    <x:row r="185">
      <x:c r="H185"/>
    </x:row>
    <x:row r="186">
      <x:c r="H186"/>
    </x:row>
    <x:row r="187">
      <x:c r="H187"/>
    </x:row>
    <x:row r="188">
      <x:c r="H188"/>
    </x:row>
    <x:row r="189">
      <x:c r="H189"/>
    </x:row>
    <x:row r="190">
      <x:c r="H190"/>
    </x:row>
    <x:row r="191">
      <x:c r="H191"/>
    </x:row>
    <x:row r="192">
      <x:c r="H192"/>
    </x:row>
    <x:row r="193">
      <x:c r="H193"/>
    </x:row>
    <x:row r="194">
      <x:c r="H194"/>
    </x:row>
    <x:row r="195">
      <x:c r="H195"/>
    </x:row>
    <x:row r="196">
      <x:c r="H196"/>
    </x:row>
    <x:row r="197">
      <x:c r="H197"/>
    </x:row>
    <x:row r="198">
      <x:c r="H198"/>
    </x:row>
    <x:row r="199">
      <x:c r="H199"/>
    </x:row>
    <x:row r="200">
      <x:c r="H200"/>
    </x:row>
    <x:row r="201">
      <x:c r="H201"/>
    </x:row>
    <x:row r="202">
      <x:c r="H202"/>
    </x:row>
    <x:row r="203">
      <x:c r="H203"/>
    </x:row>
    <x:row r="204">
      <x:c r="H204"/>
    </x:row>
    <x:row r="205">
      <x:c r="H205"/>
    </x:row>
    <x:row r="206">
      <x:c r="H206"/>
    </x:row>
    <x:row r="207">
      <x:c r="H207"/>
    </x:row>
    <x:row r="208">
      <x:c r="H208"/>
    </x:row>
    <x:row r="209">
      <x:c r="H209"/>
    </x:row>
    <x:row r="210">
      <x:c r="H210"/>
    </x:row>
    <x:row r="211">
      <x:c r="H211"/>
    </x:row>
    <x:row r="212">
      <x:c r="H212"/>
    </x:row>
    <x:row r="213">
      <x:c r="H213"/>
    </x:row>
    <x:row r="214">
      <x:c r="H214"/>
    </x:row>
    <x:row r="215">
      <x:c r="H215"/>
    </x:row>
    <x:row r="216">
      <x:c r="H216"/>
    </x:row>
    <x:row r="217">
      <x:c r="H217"/>
    </x:row>
    <x:row r="218">
      <x:c r="H218"/>
    </x:row>
    <x:row r="219">
      <x:c r="H219"/>
    </x:row>
    <x:row r="220">
      <x:c r="H220"/>
    </x:row>
    <x:row r="221">
      <x:c r="H221"/>
    </x:row>
    <x:row r="222">
      <x:c r="H222"/>
    </x:row>
    <x:row r="223">
      <x:c r="H223"/>
    </x:row>
    <x:row r="224">
      <x:c r="H224"/>
    </x:row>
    <x:row r="225">
      <x:c r="H225"/>
    </x:row>
    <x:row r="226">
      <x:c r="H226"/>
    </x:row>
    <x:row r="227">
      <x:c r="H227"/>
    </x:row>
    <x:row r="228">
      <x:c r="H228"/>
    </x:row>
    <x:row r="229">
      <x:c r="H229"/>
    </x:row>
    <x:row r="230">
      <x:c r="H230"/>
    </x:row>
    <x:row r="231">
      <x:c r="H231"/>
    </x:row>
    <x:row r="232">
      <x:c r="H232"/>
    </x:row>
    <x:row r="233">
      <x:c r="H233"/>
    </x:row>
    <x:row r="234">
      <x:c r="H234"/>
    </x:row>
    <x:row r="235">
      <x:c r="H235"/>
    </x:row>
    <x:row r="236">
      <x:c r="H236"/>
    </x:row>
    <x:row r="237">
      <x:c r="H237"/>
    </x:row>
    <x:row r="238">
      <x:c r="H238"/>
    </x:row>
    <x:row r="239">
      <x:c r="H239"/>
    </x:row>
    <x:row r="240">
      <x:c r="H240"/>
    </x:row>
    <x:row r="241">
      <x:c r="H241"/>
    </x:row>
    <x:row r="242">
      <x:c r="H242"/>
    </x:row>
    <x:row r="243">
      <x:c r="H243"/>
    </x:row>
    <x:row r="244">
      <x:c r="H244"/>
    </x:row>
    <x:row r="245">
      <x:c r="H245"/>
    </x:row>
    <x:row r="246">
      <x:c r="H246"/>
    </x:row>
    <x:row r="247">
      <x:c r="H247"/>
    </x:row>
    <x:row r="248">
      <x:c r="H248"/>
    </x:row>
    <x:row r="249">
      <x:c r="H249"/>
    </x:row>
    <x:row r="250">
      <x:c r="H250"/>
    </x:row>
    <x:row r="251">
      <x:c r="H251"/>
    </x:row>
    <x:row r="252">
      <x:c r="H252"/>
    </x:row>
    <x:row r="253">
      <x:c r="H253"/>
    </x:row>
    <x:row r="254">
      <x:c r="H254"/>
    </x:row>
    <x:row r="255">
      <x:c r="H255"/>
    </x:row>
    <x:row r="256">
      <x:c r="H256"/>
    </x:row>
    <x:row r="257">
      <x:c r="H257"/>
    </x:row>
    <x:row r="258">
      <x:c r="H258"/>
    </x:row>
    <x:row r="259">
      <x:c r="H259"/>
    </x:row>
    <x:row r="260">
      <x:c r="H260"/>
    </x:row>
    <x:row r="261">
      <x:c r="H261"/>
    </x:row>
    <x:row r="262">
      <x:c r="H262"/>
    </x:row>
    <x:row r="263">
      <x:c r="H263"/>
    </x:row>
    <x:row r="264">
      <x:c r="H264"/>
    </x:row>
    <x:row r="265">
      <x:c r="H265"/>
    </x:row>
    <x:row r="266">
      <x:c r="H266"/>
    </x:row>
    <x:row r="267">
      <x:c r="H267"/>
    </x:row>
    <x:row r="268">
      <x:c r="H268"/>
    </x:row>
    <x:row r="269">
      <x:c r="H269"/>
    </x:row>
    <x:row r="270">
      <x:c r="H270"/>
    </x:row>
    <x:row r="271">
      <x:c r="H271"/>
    </x:row>
    <x:row r="272">
      <x:c r="H272"/>
    </x:row>
    <x:row r="273">
      <x:c r="H273"/>
    </x:row>
    <x:row r="274">
      <x:c r="H274"/>
    </x:row>
    <x:row r="275">
      <x:c r="H275"/>
    </x:row>
    <x:row r="276">
      <x:c r="H276"/>
    </x:row>
    <x:row r="277">
      <x:c r="H277"/>
    </x:row>
    <x:row r="278">
      <x:c r="H278"/>
    </x:row>
    <x:row r="279">
      <x:c r="H279"/>
    </x:row>
    <x:row r="280">
      <x:c r="H280"/>
    </x:row>
    <x:row r="281">
      <x:c r="H281"/>
    </x:row>
    <x:row r="282">
      <x:c r="H282"/>
    </x:row>
    <x:row r="283">
      <x:c r="H283"/>
    </x:row>
    <x:row r="284">
      <x:c r="H284"/>
    </x:row>
    <x:row r="285">
      <x:c r="H285"/>
    </x:row>
    <x:row r="286">
      <x:c r="H286"/>
    </x:row>
    <x:row r="287">
      <x:c r="H287"/>
    </x:row>
    <x:row r="288">
      <x:c r="H288"/>
    </x:row>
    <x:row r="289">
      <x:c r="H289"/>
    </x:row>
    <x:row r="290">
      <x:c r="H290"/>
    </x:row>
    <x:row r="291">
      <x:c r="H291"/>
    </x:row>
    <x:row r="292">
      <x:c r="H292"/>
    </x:row>
    <x:row r="293">
      <x:c r="H293"/>
    </x:row>
    <x:row r="294">
      <x:c r="H294"/>
    </x:row>
    <x:row r="295">
      <x:c r="H295"/>
    </x:row>
    <x:row r="296">
      <x:c r="H296"/>
    </x:row>
    <x:row r="297">
      <x:c r="H297"/>
    </x:row>
    <x:row r="298">
      <x:c r="H298"/>
    </x:row>
    <x:row r="299">
      <x:c r="H299"/>
    </x:row>
    <x:row r="300">
      <x:c r="H300"/>
    </x:row>
    <x:row r="301">
      <x:c r="H301"/>
    </x:row>
    <x:row r="302">
      <x:c r="H302"/>
    </x:row>
    <x:row r="303">
      <x:c r="H303"/>
    </x:row>
    <x:row r="304">
      <x:c r="H304"/>
    </x:row>
    <x:row r="305">
      <x:c r="H305"/>
    </x:row>
    <x:row r="306">
      <x:c r="H306"/>
    </x:row>
    <x:row r="307">
      <x:c r="H307"/>
    </x:row>
    <x:row r="308">
      <x:c r="H308"/>
    </x:row>
    <x:row r="309">
      <x:c r="H309"/>
    </x:row>
    <x:row r="310">
      <x:c r="H310"/>
    </x:row>
    <x:row r="311">
      <x:c r="H311"/>
    </x:row>
    <x:row r="312">
      <x:c r="H312"/>
    </x:row>
    <x:row r="313">
      <x:c r="H313"/>
    </x:row>
    <x:row r="314">
      <x:c r="H314"/>
    </x:row>
    <x:row r="315">
      <x:c r="H315"/>
    </x:row>
    <x:row r="316">
      <x:c r="H316"/>
    </x:row>
    <x:row r="317">
      <x:c r="H317"/>
    </x:row>
    <x:row r="318">
      <x:c r="H318"/>
    </x:row>
    <x:row r="319">
      <x:c r="H319"/>
    </x:row>
    <x:row r="320">
      <x:c r="H320"/>
    </x:row>
    <x:row r="321">
      <x:c r="H321"/>
    </x:row>
    <x:row r="322">
      <x:c r="H322"/>
    </x:row>
    <x:row r="323">
      <x:c r="H323"/>
    </x:row>
    <x:row r="324">
      <x:c r="H324"/>
    </x:row>
    <x:row r="325">
      <x:c r="H325"/>
    </x:row>
    <x:row r="326">
      <x:c r="H326"/>
    </x:row>
    <x:row r="327">
      <x:c r="H327"/>
    </x:row>
    <x:row r="328">
      <x:c r="H328"/>
    </x:row>
    <x:row r="329">
      <x:c r="H329"/>
    </x:row>
    <x:row r="330">
      <x:c r="H330"/>
    </x:row>
    <x:row r="331">
      <x:c r="H331"/>
    </x:row>
    <x:row r="332">
      <x:c r="H332"/>
    </x:row>
    <x:row r="333">
      <x:c r="H333"/>
    </x:row>
    <x:row r="334">
      <x:c r="H334"/>
    </x:row>
    <x:row r="335">
      <x:c r="H335"/>
    </x:row>
    <x:row r="336">
      <x:c r="H336"/>
    </x:row>
    <x:row r="337">
      <x:c r="H337"/>
    </x:row>
    <x:row r="338">
      <x:c r="H338"/>
    </x:row>
    <x:row r="339">
      <x:c r="H339"/>
    </x:row>
    <x:row r="340">
      <x:c r="H340"/>
    </x:row>
    <x:row r="341">
      <x:c r="H341"/>
    </x:row>
    <x:row r="342">
      <x:c r="H342"/>
    </x:row>
    <x:row r="343">
      <x:c r="H343"/>
    </x:row>
    <x:row r="344">
      <x:c r="H344"/>
    </x:row>
    <x:row r="345">
      <x:c r="H345"/>
    </x:row>
    <x:row r="346">
      <x:c r="H346"/>
    </x:row>
    <x:row r="347">
      <x:c r="H347"/>
    </x:row>
    <x:row r="348">
      <x:c r="H348"/>
    </x:row>
    <x:row r="349">
      <x:c r="H349"/>
    </x:row>
    <x:row r="350">
      <x:c r="H350"/>
    </x:row>
    <x:row r="351">
      <x:c r="H351"/>
    </x:row>
    <x:row r="352">
      <x:c r="H352"/>
    </x:row>
    <x:row r="353">
      <x:c r="H353"/>
    </x:row>
    <x:row r="354">
      <x:c r="H354"/>
    </x:row>
    <x:row r="355">
      <x:c r="H355"/>
    </x:row>
    <x:row r="356">
      <x:c r="H356"/>
    </x:row>
    <x:row r="357">
      <x:c r="H357"/>
    </x:row>
    <x:row r="358">
      <x:c r="H358"/>
    </x:row>
    <x:row r="359">
      <x:c r="H359"/>
    </x:row>
    <x:row r="360">
      <x:c r="H360"/>
    </x:row>
    <x:row r="361">
      <x:c r="H361"/>
    </x:row>
    <x:row r="362">
      <x:c r="H362"/>
    </x:row>
    <x:row r="363">
      <x:c r="H363"/>
    </x:row>
    <x:row r="364">
      <x:c r="H364"/>
    </x:row>
    <x:row r="365">
      <x:c r="H365"/>
    </x:row>
    <x:row r="366">
      <x:c r="H366"/>
    </x:row>
    <x:row r="367">
      <x:c r="H367"/>
    </x:row>
    <x:row r="368">
      <x:c r="H368"/>
    </x:row>
    <x:row r="369">
      <x:c r="H369"/>
    </x:row>
    <x:row r="370">
      <x:c r="H370"/>
    </x:row>
    <x:row r="371">
      <x:c r="H371"/>
    </x:row>
    <x:row r="372">
      <x:c r="H372"/>
    </x:row>
    <x:row r="373">
      <x:c r="H373"/>
    </x:row>
    <x:row r="374">
      <x:c r="H374"/>
    </x:row>
    <x:row r="375">
      <x:c r="H375"/>
    </x:row>
    <x:row r="376">
      <x:c r="H376"/>
    </x:row>
    <x:row r="377">
      <x:c r="H377"/>
    </x:row>
    <x:row r="378">
      <x:c r="H378"/>
    </x:row>
    <x:row r="379">
      <x:c r="H379"/>
    </x:row>
    <x:row r="380">
      <x:c r="H380"/>
    </x:row>
    <x:row r="381">
      <x:c r="H381"/>
    </x:row>
    <x:row r="382">
      <x:c r="H382"/>
    </x:row>
    <x:row r="383">
      <x:c r="H383"/>
    </x:row>
    <x:row r="384">
      <x:c r="H384"/>
    </x:row>
    <x:row r="385">
      <x:c r="H385"/>
    </x:row>
    <x:row r="386">
      <x:c r="H386"/>
    </x:row>
    <x:row r="387">
      <x:c r="H387"/>
    </x:row>
    <x:row r="388">
      <x:c r="H388"/>
    </x:row>
    <x:row r="389">
      <x:c r="H389"/>
    </x:row>
    <x:row r="390">
      <x:c r="H390"/>
    </x:row>
    <x:row r="391">
      <x:c r="H391"/>
    </x:row>
    <x:row r="392">
      <x:c r="H392"/>
    </x:row>
    <x:row r="393">
      <x:c r="H393"/>
    </x:row>
    <x:row r="394">
      <x:c r="H394"/>
    </x:row>
    <x:row r="395">
      <x:c r="H395"/>
    </x:row>
    <x:row r="396">
      <x:c r="H396"/>
    </x:row>
    <x:row r="397">
      <x:c r="H397"/>
    </x:row>
    <x:row r="398">
      <x:c r="H398"/>
    </x:row>
    <x:row r="399">
      <x:c r="H399"/>
    </x:row>
    <x:row r="400">
      <x:c r="H400"/>
    </x:row>
    <x:row r="401">
      <x:c r="H401"/>
    </x:row>
    <x:row r="402">
      <x:c r="H402"/>
    </x:row>
    <x:row r="403">
      <x:c r="H403"/>
    </x:row>
    <x:row r="404">
      <x:c r="H404"/>
    </x:row>
    <x:row r="405">
      <x:c r="H405"/>
    </x:row>
    <x:row r="406">
      <x:c r="H406"/>
    </x:row>
    <x:row r="407">
      <x:c r="H407"/>
    </x:row>
    <x:row r="408">
      <x:c r="H408"/>
    </x:row>
    <x:row r="409">
      <x:c r="H409"/>
    </x:row>
    <x:row r="410">
      <x:c r="H410"/>
    </x:row>
    <x:row r="411">
      <x:c r="H411"/>
    </x:row>
    <x:row r="412">
      <x:c r="H412"/>
    </x:row>
    <x:row r="413">
      <x:c r="H413"/>
    </x:row>
    <x:row r="414">
      <x:c r="H414"/>
    </x:row>
    <x:row r="415">
      <x:c r="H415"/>
    </x:row>
    <x:row r="416">
      <x:c r="H416"/>
    </x:row>
    <x:row r="417">
      <x:c r="H417"/>
    </x:row>
    <x:row r="418">
      <x:c r="H418"/>
    </x:row>
    <x:row r="419">
      <x:c r="H419"/>
    </x:row>
    <x:row r="420">
      <x:c r="H420"/>
    </x:row>
    <x:row r="421">
      <x:c r="H421"/>
    </x:row>
    <x:row r="422">
      <x:c r="H422"/>
    </x:row>
    <x:row r="423">
      <x:c r="H423"/>
    </x:row>
    <x:row r="424">
      <x:c r="H424"/>
    </x:row>
    <x:row r="425">
      <x:c r="H425"/>
    </x:row>
    <x:row r="426">
      <x:c r="H426"/>
    </x:row>
    <x:row r="427">
      <x:c r="H427"/>
    </x:row>
    <x:row r="428">
      <x:c r="H428"/>
    </x:row>
    <x:row r="429">
      <x:c r="H429"/>
    </x:row>
    <x:row r="430">
      <x:c r="H430"/>
    </x:row>
    <x:row r="431">
      <x:c r="H431"/>
    </x:row>
    <x:row r="432">
      <x:c r="H432"/>
    </x:row>
    <x:row r="433">
      <x:c r="H433"/>
    </x:row>
    <x:row r="434">
      <x:c r="H434"/>
    </x:row>
    <x:row r="435">
      <x:c r="H435"/>
    </x:row>
    <x:row r="436">
      <x:c r="H436"/>
    </x:row>
    <x:row r="437">
      <x:c r="H437"/>
    </x:row>
    <x:row r="438">
      <x:c r="H438"/>
    </x:row>
    <x:row r="439">
      <x:c r="H439"/>
    </x:row>
    <x:row r="440">
      <x:c r="H440"/>
    </x:row>
    <x:row r="441">
      <x:c r="H441"/>
    </x:row>
    <x:row r="442">
      <x:c r="H442"/>
    </x:row>
    <x:row r="443">
      <x:c r="H443"/>
    </x:row>
    <x:row r="444">
      <x:c r="H444"/>
    </x:row>
    <x:row r="445">
      <x:c r="H445"/>
    </x:row>
    <x:row r="446">
      <x:c r="H446"/>
    </x:row>
    <x:row r="447">
      <x:c r="H447"/>
    </x:row>
    <x:row r="448">
      <x:c r="H448"/>
    </x:row>
    <x:row r="449">
      <x:c r="H449"/>
    </x:row>
    <x:row r="450">
      <x:c r="H450"/>
    </x:row>
    <x:row r="451">
      <x:c r="H451"/>
    </x:row>
    <x:row r="452">
      <x:c r="H452"/>
    </x:row>
    <x:row r="453">
      <x:c r="H453"/>
    </x:row>
    <x:row r="454">
      <x:c r="H454"/>
    </x:row>
    <x:row r="455">
      <x:c r="H455"/>
    </x:row>
    <x:row r="456">
      <x:c r="H456"/>
    </x:row>
    <x:row r="457">
      <x:c r="H457"/>
    </x:row>
    <x:row r="458">
      <x:c r="H458"/>
    </x:row>
    <x:row r="459">
      <x:c r="H459"/>
    </x:row>
    <x:row r="460">
      <x:c r="H460"/>
    </x:row>
    <x:row r="461">
      <x:c r="H461"/>
    </x:row>
    <x:row r="462">
      <x:c r="H462"/>
    </x:row>
    <x:row r="463">
      <x:c r="H463"/>
    </x:row>
    <x:row r="464">
      <x:c r="H464"/>
    </x:row>
    <x:row r="465">
      <x:c r="H465"/>
    </x:row>
    <x:row r="466">
      <x:c r="H466"/>
    </x:row>
    <x:row r="467">
      <x:c r="H467"/>
    </x:row>
    <x:row r="468">
      <x:c r="H468"/>
    </x:row>
    <x:row r="469">
      <x:c r="H469"/>
    </x:row>
    <x:row r="470">
      <x:c r="H470"/>
    </x:row>
    <x:row r="471">
      <x:c r="H471"/>
    </x:row>
    <x:row r="472">
      <x:c r="H472"/>
    </x:row>
    <x:row r="473">
      <x:c r="H473"/>
    </x:row>
    <x:row r="474">
      <x:c r="H474"/>
    </x:row>
    <x:row r="475">
      <x:c r="H475"/>
    </x:row>
    <x:row r="476">
      <x:c r="H476"/>
    </x:row>
    <x:row r="477">
      <x:c r="H477"/>
    </x:row>
    <x:row r="478">
      <x:c r="H478"/>
    </x:row>
    <x:row r="479">
      <x:c r="H479"/>
    </x:row>
    <x:row r="480">
      <x:c r="H480"/>
    </x:row>
    <x:row r="481">
      <x:c r="H481"/>
    </x:row>
    <x:row r="482">
      <x:c r="H482"/>
    </x:row>
    <x:row r="483">
      <x:c r="H483"/>
    </x:row>
    <x:row r="484">
      <x:c r="H484"/>
    </x:row>
    <x:row r="485">
      <x:c r="H485"/>
    </x:row>
    <x:row r="486">
      <x:c r="H486"/>
    </x:row>
    <x:row r="487">
      <x:c r="H487"/>
    </x:row>
    <x:row r="488">
      <x:c r="H488"/>
    </x:row>
    <x:row r="489">
      <x:c r="H489"/>
    </x:row>
    <x:row r="490">
      <x:c r="H490"/>
    </x:row>
    <x:row r="491">
      <x:c r="H491"/>
    </x:row>
    <x:row r="492">
      <x:c r="H492"/>
    </x:row>
    <x:row r="493">
      <x:c r="H493"/>
    </x:row>
    <x:row r="494">
      <x:c r="H494"/>
    </x:row>
    <x:row r="495">
      <x:c r="H495"/>
    </x:row>
    <x:row r="496">
      <x:c r="H496"/>
    </x:row>
    <x:row r="497">
      <x:c r="H497"/>
    </x:row>
    <x:row r="498">
      <x:c r="H498"/>
    </x:row>
    <x:row r="499">
      <x:c r="H499"/>
    </x:row>
    <x:row r="500">
      <x:c r="H500"/>
    </x:row>
  </x:sheetData>
  <x:dataValidations count="1">
    <x:dataValidation type="list" sqref="C2:C500">
      <x:formula1>Lookups!$A$2:$A$4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ea23799bda4e4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28" hidden="0" customWidth="1"/>
    <x:col min="8" max="8" width="28" hidden="0" customWidth="1"/>
    <x:col min="9" max="9" width="50" hidden="0" customWidth="1"/>
    <x:col min="10" max="10" width="18" hidden="0" customWidth="1"/>
    <x:col min="11" max="11" width="34" hidden="0" customWidth="1"/>
  </x:cols>
  <x:sheetData>
    <x:row r="1" ht="22" customHeight="1">
      <x:c r="A1" s="20" t="str">
        <x:v>measured_at</x:v>
      </x:c>
      <x:c r="B1" s="22" t="str">
        <x:v>target_date</x:v>
      </x:c>
      <x:c r="C1" s="15" t="str">
        <x:v>time_band</x:v>
      </x:c>
      <x:c r="D1" s="26" t="str">
        <x:v>blood_glucose_mg_dl</x:v>
      </x:c>
      <x:c r="E1" s="15" t="str">
        <x:v>meal_relation</x:v>
      </x:c>
      <x:c r="F1" s="15" t="str">
        <x:v>health_connect_id</x:v>
      </x:c>
      <x:c r="G1" s="15" t="str">
        <x:v>source_app_name</x:v>
      </x:c>
      <x:c r="H1" s="15" t="str">
        <x:v>source_package_name</x:v>
      </x:c>
      <x:c r="I1" s="15" t="str">
        <x:v>overwrite_key</x:v>
      </x:c>
      <x:c r="J1" s="20" t="str">
        <x:v>synced_at</x:v>
      </x:c>
      <x:c r="K1" s="15" t="str">
        <x:v>note</x:v>
      </x:c>
    </x:row>
    <x:row r="2">
      <x:c r="A2" t="n">
        <x:v>46150.270833333336</x:v>
      </x:c>
      <x:c r="B2" t="n">
        <x:v>46150</x:v>
      </x:c>
      <x:c r="C2" t="str">
        <x:v>朝</x:v>
      </x:c>
      <x:c r="D2" t="n">
        <x:v>105</x:v>
      </x:c>
      <x:c r="E2" t="str">
        <x:v>空腹時</x:v>
      </x:c>
      <x:c r="F2" t="str">
        <x:v>sample_health_connect_id</x:v>
      </x:c>
      <x:c r="G2" t="str">
        <x:v>血糖値アプリ</x:v>
      </x:c>
      <x:c r="H2" t="str">
        <x:v>sample.glucose.app</x:v>
      </x:c>
      <x:c r="I2" t="str">
        <x:f>TEXT(B2,"yyyy-mm-dd")&amp;"|"&amp;C2&amp;"|"&amp;E2&amp;"|"&amp;H2</x:f>
        <x:v>2026-05-08|朝|空腹時|sample.glucose.app</x:v>
      </x:c>
      <x:c r="J2" t="str"/>
      <x:c r="K2" t="str">
        <x:v>サンプル行。実運用時は削除可。</x:v>
      </x:c>
    </x:row>
    <x:row r="3">
      <x:c r="I3" t="str">
        <x:f>IF(B3="","",TEXT(B3,"yyyy-mm-dd")&amp;"|"&amp;C3&amp;"|"&amp;E3&amp;"|"&amp;H3)</x:f>
      </x:c>
    </x:row>
    <x:row r="4">
      <x:c r="I4"/>
    </x:row>
    <x:row r="5">
      <x:c r="I5"/>
    </x:row>
    <x:row r="6">
      <x:c r="I6"/>
    </x:row>
    <x:row r="7">
      <x:c r="I7"/>
    </x:row>
    <x:row r="8">
      <x:c r="I8"/>
    </x:row>
    <x:row r="9">
      <x:c r="I9"/>
    </x:row>
    <x:row r="10">
      <x:c r="I10"/>
    </x:row>
    <x:row r="11">
      <x:c r="I11"/>
    </x:row>
    <x:row r="12">
      <x:c r="I12"/>
    </x:row>
    <x:row r="13">
      <x:c r="I13"/>
    </x:row>
    <x:row r="14">
      <x:c r="I14"/>
    </x:row>
    <x:row r="15">
      <x:c r="I15"/>
    </x:row>
    <x:row r="16">
      <x:c r="I16"/>
    </x:row>
    <x:row r="17">
      <x:c r="I17"/>
    </x:row>
    <x:row r="18">
      <x:c r="I18"/>
    </x:row>
    <x:row r="19">
      <x:c r="I19"/>
    </x:row>
    <x:row r="20">
      <x:c r="I20"/>
    </x:row>
    <x:row r="21">
      <x:c r="I21"/>
    </x:row>
    <x:row r="22">
      <x:c r="I22"/>
    </x:row>
    <x:row r="23">
      <x:c r="I23"/>
    </x:row>
    <x:row r="24">
      <x:c r="I24"/>
    </x:row>
    <x:row r="25">
      <x:c r="I25"/>
    </x:row>
    <x:row r="26">
      <x:c r="I26"/>
    </x:row>
    <x:row r="27">
      <x:c r="I27"/>
    </x:row>
    <x:row r="28">
      <x:c r="I28"/>
    </x:row>
    <x:row r="29">
      <x:c r="I29"/>
    </x:row>
    <x:row r="30">
      <x:c r="I30"/>
    </x:row>
    <x:row r="31">
      <x:c r="I31"/>
    </x:row>
    <x:row r="32">
      <x:c r="I32"/>
    </x:row>
    <x:row r="33">
      <x:c r="I33"/>
    </x:row>
    <x:row r="34">
      <x:c r="I34"/>
    </x:row>
    <x:row r="35">
      <x:c r="I35"/>
    </x:row>
    <x:row r="36">
      <x:c r="I36"/>
    </x:row>
    <x:row r="37">
      <x:c r="I37"/>
    </x:row>
    <x:row r="38">
      <x:c r="I38"/>
    </x:row>
    <x:row r="39">
      <x:c r="I39"/>
    </x:row>
    <x:row r="40">
      <x:c r="I40"/>
    </x:row>
    <x:row r="41">
      <x:c r="I41"/>
    </x:row>
    <x:row r="42">
      <x:c r="I42"/>
    </x:row>
    <x:row r="43">
      <x:c r="I43"/>
    </x:row>
    <x:row r="44">
      <x:c r="I44"/>
    </x:row>
    <x:row r="45">
      <x:c r="I45"/>
    </x:row>
    <x:row r="46">
      <x:c r="I46"/>
    </x:row>
    <x:row r="47">
      <x:c r="I47"/>
    </x:row>
    <x:row r="48">
      <x:c r="I48"/>
    </x:row>
    <x:row r="49">
      <x:c r="I49"/>
    </x:row>
    <x:row r="50">
      <x:c r="I50"/>
    </x:row>
    <x:row r="51">
      <x:c r="I51"/>
    </x:row>
    <x:row r="52">
      <x:c r="I52"/>
    </x:row>
    <x:row r="53">
      <x:c r="I53"/>
    </x:row>
    <x:row r="54">
      <x:c r="I54"/>
    </x:row>
    <x:row r="55">
      <x:c r="I55"/>
    </x:row>
    <x:row r="56">
      <x:c r="I56"/>
    </x:row>
    <x:row r="57">
      <x:c r="I57"/>
    </x:row>
    <x:row r="58">
      <x:c r="I58"/>
    </x:row>
    <x:row r="59">
      <x:c r="I59"/>
    </x:row>
    <x:row r="60">
      <x:c r="I60"/>
    </x:row>
    <x:row r="61">
      <x:c r="I61"/>
    </x:row>
    <x:row r="62">
      <x:c r="I62"/>
    </x:row>
    <x:row r="63">
      <x:c r="I63"/>
    </x:row>
    <x:row r="64">
      <x:c r="I64"/>
    </x:row>
    <x:row r="65">
      <x:c r="I65"/>
    </x:row>
    <x:row r="66">
      <x:c r="I66"/>
    </x:row>
    <x:row r="67">
      <x:c r="I67"/>
    </x:row>
    <x:row r="68">
      <x:c r="I68"/>
    </x:row>
    <x:row r="69">
      <x:c r="I69"/>
    </x:row>
    <x:row r="70">
      <x:c r="I70"/>
    </x:row>
    <x:row r="71">
      <x:c r="I71"/>
    </x:row>
    <x:row r="72">
      <x:c r="I72"/>
    </x:row>
    <x:row r="73">
      <x:c r="I73"/>
    </x:row>
    <x:row r="74">
      <x:c r="I74"/>
    </x:row>
    <x:row r="75">
      <x:c r="I75"/>
    </x:row>
    <x:row r="76">
      <x:c r="I76"/>
    </x:row>
    <x:row r="77">
      <x:c r="I77"/>
    </x:row>
    <x:row r="78">
      <x:c r="I78"/>
    </x:row>
    <x:row r="79">
      <x:c r="I79"/>
    </x:row>
    <x:row r="80">
      <x:c r="I80"/>
    </x:row>
    <x:row r="81">
      <x:c r="I81"/>
    </x:row>
    <x:row r="82">
      <x:c r="I82"/>
    </x:row>
    <x:row r="83">
      <x:c r="I83"/>
    </x:row>
    <x:row r="84">
      <x:c r="I84"/>
    </x:row>
    <x:row r="85">
      <x:c r="I85"/>
    </x:row>
    <x:row r="86">
      <x:c r="I86"/>
    </x:row>
    <x:row r="87">
      <x:c r="I87"/>
    </x:row>
    <x:row r="88">
      <x:c r="I88"/>
    </x:row>
    <x:row r="89">
      <x:c r="I89"/>
    </x:row>
    <x:row r="90">
      <x:c r="I90"/>
    </x:row>
    <x:row r="91">
      <x:c r="I91"/>
    </x:row>
    <x:row r="92">
      <x:c r="I92"/>
    </x:row>
    <x:row r="93">
      <x:c r="I93"/>
    </x:row>
    <x:row r="94">
      <x:c r="I94"/>
    </x:row>
    <x:row r="95">
      <x:c r="I95"/>
    </x:row>
    <x:row r="96">
      <x:c r="I96"/>
    </x:row>
    <x:row r="97">
      <x:c r="I97"/>
    </x:row>
    <x:row r="98">
      <x:c r="I98"/>
    </x:row>
    <x:row r="99">
      <x:c r="I99"/>
    </x:row>
    <x:row r="100">
      <x:c r="I100"/>
    </x:row>
    <x:row r="101">
      <x:c r="I101"/>
    </x:row>
    <x:row r="102">
      <x:c r="I102"/>
    </x:row>
    <x:row r="103">
      <x:c r="I103"/>
    </x:row>
    <x:row r="104">
      <x:c r="I104"/>
    </x:row>
    <x:row r="105">
      <x:c r="I105"/>
    </x:row>
    <x:row r="106">
      <x:c r="I106"/>
    </x:row>
    <x:row r="107">
      <x:c r="I107"/>
    </x:row>
    <x:row r="108">
      <x:c r="I108"/>
    </x:row>
    <x:row r="109">
      <x:c r="I109"/>
    </x:row>
    <x:row r="110">
      <x:c r="I110"/>
    </x:row>
    <x:row r="111">
      <x:c r="I111"/>
    </x:row>
    <x:row r="112">
      <x:c r="I112"/>
    </x:row>
    <x:row r="113">
      <x:c r="I113"/>
    </x:row>
    <x:row r="114">
      <x:c r="I114"/>
    </x:row>
    <x:row r="115">
      <x:c r="I115"/>
    </x:row>
    <x:row r="116">
      <x:c r="I116"/>
    </x:row>
    <x:row r="117">
      <x:c r="I117"/>
    </x:row>
    <x:row r="118">
      <x:c r="I118"/>
    </x:row>
    <x:row r="119">
      <x:c r="I119"/>
    </x:row>
    <x:row r="120">
      <x:c r="I120"/>
    </x:row>
    <x:row r="121">
      <x:c r="I121"/>
    </x:row>
    <x:row r="122">
      <x:c r="I122"/>
    </x:row>
    <x:row r="123">
      <x:c r="I123"/>
    </x:row>
    <x:row r="124">
      <x:c r="I124"/>
    </x:row>
    <x:row r="125">
      <x:c r="I125"/>
    </x:row>
    <x:row r="126">
      <x:c r="I126"/>
    </x:row>
    <x:row r="127">
      <x:c r="I127"/>
    </x:row>
    <x:row r="128">
      <x:c r="I128"/>
    </x:row>
    <x:row r="129">
      <x:c r="I129"/>
    </x:row>
    <x:row r="130">
      <x:c r="I130"/>
    </x:row>
    <x:row r="131">
      <x:c r="I131"/>
    </x:row>
    <x:row r="132">
      <x:c r="I132"/>
    </x:row>
    <x:row r="133">
      <x:c r="I133"/>
    </x:row>
    <x:row r="134">
      <x:c r="I134"/>
    </x:row>
    <x:row r="135">
      <x:c r="I135"/>
    </x:row>
    <x:row r="136">
      <x:c r="I136"/>
    </x:row>
    <x:row r="137">
      <x:c r="I137"/>
    </x:row>
    <x:row r="138">
      <x:c r="I138"/>
    </x:row>
    <x:row r="139">
      <x:c r="I139"/>
    </x:row>
    <x:row r="140">
      <x:c r="I140"/>
    </x:row>
    <x:row r="141">
      <x:c r="I141"/>
    </x:row>
    <x:row r="142">
      <x:c r="I142"/>
    </x:row>
    <x:row r="143">
      <x:c r="I143"/>
    </x:row>
    <x:row r="144">
      <x:c r="I144"/>
    </x:row>
    <x:row r="145">
      <x:c r="I145"/>
    </x:row>
    <x:row r="146">
      <x:c r="I146"/>
    </x:row>
    <x:row r="147">
      <x:c r="I147"/>
    </x:row>
    <x:row r="148">
      <x:c r="I148"/>
    </x:row>
    <x:row r="149">
      <x:c r="I149"/>
    </x:row>
    <x:row r="150">
      <x:c r="I150"/>
    </x:row>
    <x:row r="151">
      <x:c r="I151"/>
    </x:row>
    <x:row r="152">
      <x:c r="I152"/>
    </x:row>
    <x:row r="153">
      <x:c r="I153"/>
    </x:row>
    <x:row r="154">
      <x:c r="I154"/>
    </x:row>
    <x:row r="155">
      <x:c r="I155"/>
    </x:row>
    <x:row r="156">
      <x:c r="I156"/>
    </x:row>
    <x:row r="157">
      <x:c r="I157"/>
    </x:row>
    <x:row r="158">
      <x:c r="I158"/>
    </x:row>
    <x:row r="159">
      <x:c r="I159"/>
    </x:row>
    <x:row r="160">
      <x:c r="I160"/>
    </x:row>
    <x:row r="161">
      <x:c r="I161"/>
    </x:row>
    <x:row r="162">
      <x:c r="I162"/>
    </x:row>
    <x:row r="163">
      <x:c r="I163"/>
    </x:row>
    <x:row r="164">
      <x:c r="I164"/>
    </x:row>
    <x:row r="165">
      <x:c r="I165"/>
    </x:row>
    <x:row r="166">
      <x:c r="I166"/>
    </x:row>
    <x:row r="167">
      <x:c r="I167"/>
    </x:row>
    <x:row r="168">
      <x:c r="I168"/>
    </x:row>
    <x:row r="169">
      <x:c r="I169"/>
    </x:row>
    <x:row r="170">
      <x:c r="I170"/>
    </x:row>
    <x:row r="171">
      <x:c r="I171"/>
    </x:row>
    <x:row r="172">
      <x:c r="I172"/>
    </x:row>
    <x:row r="173">
      <x:c r="I173"/>
    </x:row>
    <x:row r="174">
      <x:c r="I174"/>
    </x:row>
    <x:row r="175">
      <x:c r="I175"/>
    </x:row>
    <x:row r="176">
      <x:c r="I176"/>
    </x:row>
    <x:row r="177">
      <x:c r="I177"/>
    </x:row>
    <x:row r="178">
      <x:c r="I178"/>
    </x:row>
    <x:row r="179">
      <x:c r="I179"/>
    </x:row>
    <x:row r="180">
      <x:c r="I180"/>
    </x:row>
    <x:row r="181">
      <x:c r="I181"/>
    </x:row>
    <x:row r="182">
      <x:c r="I182"/>
    </x:row>
    <x:row r="183">
      <x:c r="I183"/>
    </x:row>
    <x:row r="184">
      <x:c r="I184"/>
    </x:row>
    <x:row r="185">
      <x:c r="I185"/>
    </x:row>
    <x:row r="186">
      <x:c r="I186"/>
    </x:row>
    <x:row r="187">
      <x:c r="I187"/>
    </x:row>
    <x:row r="188">
      <x:c r="I188"/>
    </x:row>
    <x:row r="189">
      <x:c r="I189"/>
    </x:row>
    <x:row r="190">
      <x:c r="I190"/>
    </x:row>
    <x:row r="191">
      <x:c r="I191"/>
    </x:row>
    <x:row r="192">
      <x:c r="I192"/>
    </x:row>
    <x:row r="193">
      <x:c r="I193"/>
    </x:row>
    <x:row r="194">
      <x:c r="I194"/>
    </x:row>
    <x:row r="195">
      <x:c r="I195"/>
    </x:row>
    <x:row r="196">
      <x:c r="I196"/>
    </x:row>
    <x:row r="197">
      <x:c r="I197"/>
    </x:row>
    <x:row r="198">
      <x:c r="I198"/>
    </x:row>
    <x:row r="199">
      <x:c r="I199"/>
    </x:row>
    <x:row r="200">
      <x:c r="I200"/>
    </x:row>
    <x:row r="201">
      <x:c r="I201"/>
    </x:row>
    <x:row r="202">
      <x:c r="I202"/>
    </x:row>
    <x:row r="203">
      <x:c r="I203"/>
    </x:row>
    <x:row r="204">
      <x:c r="I204"/>
    </x:row>
    <x:row r="205">
      <x:c r="I205"/>
    </x:row>
    <x:row r="206">
      <x:c r="I206"/>
    </x:row>
    <x:row r="207">
      <x:c r="I207"/>
    </x:row>
    <x:row r="208">
      <x:c r="I208"/>
    </x:row>
    <x:row r="209">
      <x:c r="I209"/>
    </x:row>
    <x:row r="210">
      <x:c r="I210"/>
    </x:row>
    <x:row r="211">
      <x:c r="I211"/>
    </x:row>
    <x:row r="212">
      <x:c r="I212"/>
    </x:row>
    <x:row r="213">
      <x:c r="I213"/>
    </x:row>
    <x:row r="214">
      <x:c r="I214"/>
    </x:row>
    <x:row r="215">
      <x:c r="I215"/>
    </x:row>
    <x:row r="216">
      <x:c r="I216"/>
    </x:row>
    <x:row r="217">
      <x:c r="I217"/>
    </x:row>
    <x:row r="218">
      <x:c r="I218"/>
    </x:row>
    <x:row r="219">
      <x:c r="I219"/>
    </x:row>
    <x:row r="220">
      <x:c r="I220"/>
    </x:row>
    <x:row r="221">
      <x:c r="I221"/>
    </x:row>
    <x:row r="222">
      <x:c r="I222"/>
    </x:row>
    <x:row r="223">
      <x:c r="I223"/>
    </x:row>
    <x:row r="224">
      <x:c r="I224"/>
    </x:row>
    <x:row r="225">
      <x:c r="I225"/>
    </x:row>
    <x:row r="226">
      <x:c r="I226"/>
    </x:row>
    <x:row r="227">
      <x:c r="I227"/>
    </x:row>
    <x:row r="228">
      <x:c r="I228"/>
    </x:row>
    <x:row r="229">
      <x:c r="I229"/>
    </x:row>
    <x:row r="230">
      <x:c r="I230"/>
    </x:row>
    <x:row r="231">
      <x:c r="I231"/>
    </x:row>
    <x:row r="232">
      <x:c r="I232"/>
    </x:row>
    <x:row r="233">
      <x:c r="I233"/>
    </x:row>
    <x:row r="234">
      <x:c r="I234"/>
    </x:row>
    <x:row r="235">
      <x:c r="I235"/>
    </x:row>
    <x:row r="236">
      <x:c r="I236"/>
    </x:row>
    <x:row r="237">
      <x:c r="I237"/>
    </x:row>
    <x:row r="238">
      <x:c r="I238"/>
    </x:row>
    <x:row r="239">
      <x:c r="I239"/>
    </x:row>
    <x:row r="240">
      <x:c r="I240"/>
    </x:row>
    <x:row r="241">
      <x:c r="I241"/>
    </x:row>
    <x:row r="242">
      <x:c r="I242"/>
    </x:row>
    <x:row r="243">
      <x:c r="I243"/>
    </x:row>
    <x:row r="244">
      <x:c r="I244"/>
    </x:row>
    <x:row r="245">
      <x:c r="I245"/>
    </x:row>
    <x:row r="246">
      <x:c r="I246"/>
    </x:row>
    <x:row r="247">
      <x:c r="I247"/>
    </x:row>
    <x:row r="248">
      <x:c r="I248"/>
    </x:row>
    <x:row r="249">
      <x:c r="I249"/>
    </x:row>
    <x:row r="250">
      <x:c r="I250"/>
    </x:row>
    <x:row r="251">
      <x:c r="I251"/>
    </x:row>
    <x:row r="252">
      <x:c r="I252"/>
    </x:row>
    <x:row r="253">
      <x:c r="I253"/>
    </x:row>
    <x:row r="254">
      <x:c r="I254"/>
    </x:row>
    <x:row r="255">
      <x:c r="I255"/>
    </x:row>
    <x:row r="256">
      <x:c r="I256"/>
    </x:row>
    <x:row r="257">
      <x:c r="I257"/>
    </x:row>
    <x:row r="258">
      <x:c r="I258"/>
    </x:row>
    <x:row r="259">
      <x:c r="I259"/>
    </x:row>
    <x:row r="260">
      <x:c r="I260"/>
    </x:row>
    <x:row r="261">
      <x:c r="I261"/>
    </x:row>
    <x:row r="262">
      <x:c r="I262"/>
    </x:row>
    <x:row r="263">
      <x:c r="I263"/>
    </x:row>
    <x:row r="264">
      <x:c r="I264"/>
    </x:row>
    <x:row r="265">
      <x:c r="I265"/>
    </x:row>
    <x:row r="266">
      <x:c r="I266"/>
    </x:row>
    <x:row r="267">
      <x:c r="I267"/>
    </x:row>
    <x:row r="268">
      <x:c r="I268"/>
    </x:row>
    <x:row r="269">
      <x:c r="I269"/>
    </x:row>
    <x:row r="270">
      <x:c r="I270"/>
    </x:row>
    <x:row r="271">
      <x:c r="I271"/>
    </x:row>
    <x:row r="272">
      <x:c r="I272"/>
    </x:row>
    <x:row r="273">
      <x:c r="I273"/>
    </x:row>
    <x:row r="274">
      <x:c r="I274"/>
    </x:row>
    <x:row r="275">
      <x:c r="I275"/>
    </x:row>
    <x:row r="276">
      <x:c r="I276"/>
    </x:row>
    <x:row r="277">
      <x:c r="I277"/>
    </x:row>
    <x:row r="278">
      <x:c r="I278"/>
    </x:row>
    <x:row r="279">
      <x:c r="I279"/>
    </x:row>
    <x:row r="280">
      <x:c r="I280"/>
    </x:row>
    <x:row r="281">
      <x:c r="I281"/>
    </x:row>
    <x:row r="282">
      <x:c r="I282"/>
    </x:row>
    <x:row r="283">
      <x:c r="I283"/>
    </x:row>
    <x:row r="284">
      <x:c r="I284"/>
    </x:row>
    <x:row r="285">
      <x:c r="I285"/>
    </x:row>
    <x:row r="286">
      <x:c r="I286"/>
    </x:row>
    <x:row r="287">
      <x:c r="I287"/>
    </x:row>
    <x:row r="288">
      <x:c r="I288"/>
    </x:row>
    <x:row r="289">
      <x:c r="I289"/>
    </x:row>
    <x:row r="290">
      <x:c r="I290"/>
    </x:row>
    <x:row r="291">
      <x:c r="I291"/>
    </x:row>
    <x:row r="292">
      <x:c r="I292"/>
    </x:row>
    <x:row r="293">
      <x:c r="I293"/>
    </x:row>
    <x:row r="294">
      <x:c r="I294"/>
    </x:row>
    <x:row r="295">
      <x:c r="I295"/>
    </x:row>
    <x:row r="296">
      <x:c r="I296"/>
    </x:row>
    <x:row r="297">
      <x:c r="I297"/>
    </x:row>
    <x:row r="298">
      <x:c r="I298"/>
    </x:row>
    <x:row r="299">
      <x:c r="I299"/>
    </x:row>
    <x:row r="300">
      <x:c r="I300"/>
    </x:row>
    <x:row r="301">
      <x:c r="I301"/>
    </x:row>
    <x:row r="302">
      <x:c r="I302"/>
    </x:row>
    <x:row r="303">
      <x:c r="I303"/>
    </x:row>
    <x:row r="304">
      <x:c r="I304"/>
    </x:row>
    <x:row r="305">
      <x:c r="I305"/>
    </x:row>
    <x:row r="306">
      <x:c r="I306"/>
    </x:row>
    <x:row r="307">
      <x:c r="I307"/>
    </x:row>
    <x:row r="308">
      <x:c r="I308"/>
    </x:row>
    <x:row r="309">
      <x:c r="I309"/>
    </x:row>
    <x:row r="310">
      <x:c r="I310"/>
    </x:row>
    <x:row r="311">
      <x:c r="I311"/>
    </x:row>
    <x:row r="312">
      <x:c r="I312"/>
    </x:row>
    <x:row r="313">
      <x:c r="I313"/>
    </x:row>
    <x:row r="314">
      <x:c r="I314"/>
    </x:row>
    <x:row r="315">
      <x:c r="I315"/>
    </x:row>
    <x:row r="316">
      <x:c r="I316"/>
    </x:row>
    <x:row r="317">
      <x:c r="I317"/>
    </x:row>
    <x:row r="318">
      <x:c r="I318"/>
    </x:row>
    <x:row r="319">
      <x:c r="I319"/>
    </x:row>
    <x:row r="320">
      <x:c r="I320"/>
    </x:row>
    <x:row r="321">
      <x:c r="I321"/>
    </x:row>
    <x:row r="322">
      <x:c r="I322"/>
    </x:row>
    <x:row r="323">
      <x:c r="I323"/>
    </x:row>
    <x:row r="324">
      <x:c r="I324"/>
    </x:row>
    <x:row r="325">
      <x:c r="I325"/>
    </x:row>
    <x:row r="326">
      <x:c r="I326"/>
    </x:row>
    <x:row r="327">
      <x:c r="I327"/>
    </x:row>
    <x:row r="328">
      <x:c r="I328"/>
    </x:row>
    <x:row r="329">
      <x:c r="I329"/>
    </x:row>
    <x:row r="330">
      <x:c r="I330"/>
    </x:row>
    <x:row r="331">
      <x:c r="I331"/>
    </x:row>
    <x:row r="332">
      <x:c r="I332"/>
    </x:row>
    <x:row r="333">
      <x:c r="I333"/>
    </x:row>
    <x:row r="334">
      <x:c r="I334"/>
    </x:row>
    <x:row r="335">
      <x:c r="I335"/>
    </x:row>
    <x:row r="336">
      <x:c r="I336"/>
    </x:row>
    <x:row r="337">
      <x:c r="I337"/>
    </x:row>
    <x:row r="338">
      <x:c r="I338"/>
    </x:row>
    <x:row r="339">
      <x:c r="I339"/>
    </x:row>
    <x:row r="340">
      <x:c r="I340"/>
    </x:row>
    <x:row r="341">
      <x:c r="I341"/>
    </x:row>
    <x:row r="342">
      <x:c r="I342"/>
    </x:row>
    <x:row r="343">
      <x:c r="I343"/>
    </x:row>
    <x:row r="344">
      <x:c r="I344"/>
    </x:row>
    <x:row r="345">
      <x:c r="I345"/>
    </x:row>
    <x:row r="346">
      <x:c r="I346"/>
    </x:row>
    <x:row r="347">
      <x:c r="I347"/>
    </x:row>
    <x:row r="348">
      <x:c r="I348"/>
    </x:row>
    <x:row r="349">
      <x:c r="I349"/>
    </x:row>
    <x:row r="350">
      <x:c r="I350"/>
    </x:row>
    <x:row r="351">
      <x:c r="I351"/>
    </x:row>
    <x:row r="352">
      <x:c r="I352"/>
    </x:row>
    <x:row r="353">
      <x:c r="I353"/>
    </x:row>
    <x:row r="354">
      <x:c r="I354"/>
    </x:row>
    <x:row r="355">
      <x:c r="I355"/>
    </x:row>
    <x:row r="356">
      <x:c r="I356"/>
    </x:row>
    <x:row r="357">
      <x:c r="I357"/>
    </x:row>
    <x:row r="358">
      <x:c r="I358"/>
    </x:row>
    <x:row r="359">
      <x:c r="I359"/>
    </x:row>
    <x:row r="360">
      <x:c r="I360"/>
    </x:row>
    <x:row r="361">
      <x:c r="I361"/>
    </x:row>
    <x:row r="362">
      <x:c r="I362"/>
    </x:row>
    <x:row r="363">
      <x:c r="I363"/>
    </x:row>
    <x:row r="364">
      <x:c r="I364"/>
    </x:row>
    <x:row r="365">
      <x:c r="I365"/>
    </x:row>
    <x:row r="366">
      <x:c r="I366"/>
    </x:row>
    <x:row r="367">
      <x:c r="I367"/>
    </x:row>
    <x:row r="368">
      <x:c r="I368"/>
    </x:row>
    <x:row r="369">
      <x:c r="I369"/>
    </x:row>
    <x:row r="370">
      <x:c r="I370"/>
    </x:row>
    <x:row r="371">
      <x:c r="I371"/>
    </x:row>
    <x:row r="372">
      <x:c r="I372"/>
    </x:row>
    <x:row r="373">
      <x:c r="I373"/>
    </x:row>
    <x:row r="374">
      <x:c r="I374"/>
    </x:row>
    <x:row r="375">
      <x:c r="I375"/>
    </x:row>
    <x:row r="376">
      <x:c r="I376"/>
    </x:row>
    <x:row r="377">
      <x:c r="I377"/>
    </x:row>
    <x:row r="378">
      <x:c r="I378"/>
    </x:row>
    <x:row r="379">
      <x:c r="I379"/>
    </x:row>
    <x:row r="380">
      <x:c r="I380"/>
    </x:row>
    <x:row r="381">
      <x:c r="I381"/>
    </x:row>
    <x:row r="382">
      <x:c r="I382"/>
    </x:row>
    <x:row r="383">
      <x:c r="I383"/>
    </x:row>
    <x:row r="384">
      <x:c r="I384"/>
    </x:row>
    <x:row r="385">
      <x:c r="I385"/>
    </x:row>
    <x:row r="386">
      <x:c r="I386"/>
    </x:row>
    <x:row r="387">
      <x:c r="I387"/>
    </x:row>
    <x:row r="388">
      <x:c r="I388"/>
    </x:row>
    <x:row r="389">
      <x:c r="I389"/>
    </x:row>
    <x:row r="390">
      <x:c r="I390"/>
    </x:row>
    <x:row r="391">
      <x:c r="I391"/>
    </x:row>
    <x:row r="392">
      <x:c r="I392"/>
    </x:row>
    <x:row r="393">
      <x:c r="I393"/>
    </x:row>
    <x:row r="394">
      <x:c r="I394"/>
    </x:row>
    <x:row r="395">
      <x:c r="I395"/>
    </x:row>
    <x:row r="396">
      <x:c r="I396"/>
    </x:row>
    <x:row r="397">
      <x:c r="I397"/>
    </x:row>
    <x:row r="398">
      <x:c r="I398"/>
    </x:row>
    <x:row r="399">
      <x:c r="I399"/>
    </x:row>
    <x:row r="400">
      <x:c r="I400"/>
    </x:row>
    <x:row r="401">
      <x:c r="I401"/>
    </x:row>
    <x:row r="402">
      <x:c r="I402"/>
    </x:row>
    <x:row r="403">
      <x:c r="I403"/>
    </x:row>
    <x:row r="404">
      <x:c r="I404"/>
    </x:row>
    <x:row r="405">
      <x:c r="I405"/>
    </x:row>
    <x:row r="406">
      <x:c r="I406"/>
    </x:row>
    <x:row r="407">
      <x:c r="I407"/>
    </x:row>
    <x:row r="408">
      <x:c r="I408"/>
    </x:row>
    <x:row r="409">
      <x:c r="I409"/>
    </x:row>
    <x:row r="410">
      <x:c r="I410"/>
    </x:row>
    <x:row r="411">
      <x:c r="I411"/>
    </x:row>
    <x:row r="412">
      <x:c r="I412"/>
    </x:row>
    <x:row r="413">
      <x:c r="I413"/>
    </x:row>
    <x:row r="414">
      <x:c r="I414"/>
    </x:row>
    <x:row r="415">
      <x:c r="I415"/>
    </x:row>
    <x:row r="416">
      <x:c r="I416"/>
    </x:row>
    <x:row r="417">
      <x:c r="I417"/>
    </x:row>
    <x:row r="418">
      <x:c r="I418"/>
    </x:row>
    <x:row r="419">
      <x:c r="I419"/>
    </x:row>
    <x:row r="420">
      <x:c r="I420"/>
    </x:row>
    <x:row r="421">
      <x:c r="I421"/>
    </x:row>
    <x:row r="422">
      <x:c r="I422"/>
    </x:row>
    <x:row r="423">
      <x:c r="I423"/>
    </x:row>
    <x:row r="424">
      <x:c r="I424"/>
    </x:row>
    <x:row r="425">
      <x:c r="I425"/>
    </x:row>
    <x:row r="426">
      <x:c r="I426"/>
    </x:row>
    <x:row r="427">
      <x:c r="I427"/>
    </x:row>
    <x:row r="428">
      <x:c r="I428"/>
    </x:row>
    <x:row r="429">
      <x:c r="I429"/>
    </x:row>
    <x:row r="430">
      <x:c r="I430"/>
    </x:row>
    <x:row r="431">
      <x:c r="I431"/>
    </x:row>
    <x:row r="432">
      <x:c r="I432"/>
    </x:row>
    <x:row r="433">
      <x:c r="I433"/>
    </x:row>
    <x:row r="434">
      <x:c r="I434"/>
    </x:row>
    <x:row r="435">
      <x:c r="I435"/>
    </x:row>
    <x:row r="436">
      <x:c r="I436"/>
    </x:row>
    <x:row r="437">
      <x:c r="I437"/>
    </x:row>
    <x:row r="438">
      <x:c r="I438"/>
    </x:row>
    <x:row r="439">
      <x:c r="I439"/>
    </x:row>
    <x:row r="440">
      <x:c r="I440"/>
    </x:row>
    <x:row r="441">
      <x:c r="I441"/>
    </x:row>
    <x:row r="442">
      <x:c r="I442"/>
    </x:row>
    <x:row r="443">
      <x:c r="I443"/>
    </x:row>
    <x:row r="444">
      <x:c r="I444"/>
    </x:row>
    <x:row r="445">
      <x:c r="I445"/>
    </x:row>
    <x:row r="446">
      <x:c r="I446"/>
    </x:row>
    <x:row r="447">
      <x:c r="I447"/>
    </x:row>
    <x:row r="448">
      <x:c r="I448"/>
    </x:row>
    <x:row r="449">
      <x:c r="I449"/>
    </x:row>
    <x:row r="450">
      <x:c r="I450"/>
    </x:row>
    <x:row r="451">
      <x:c r="I451"/>
    </x:row>
    <x:row r="452">
      <x:c r="I452"/>
    </x:row>
    <x:row r="453">
      <x:c r="I453"/>
    </x:row>
    <x:row r="454">
      <x:c r="I454"/>
    </x:row>
    <x:row r="455">
      <x:c r="I455"/>
    </x:row>
    <x:row r="456">
      <x:c r="I456"/>
    </x:row>
    <x:row r="457">
      <x:c r="I457"/>
    </x:row>
    <x:row r="458">
      <x:c r="I458"/>
    </x:row>
    <x:row r="459">
      <x:c r="I459"/>
    </x:row>
    <x:row r="460">
      <x:c r="I460"/>
    </x:row>
    <x:row r="461">
      <x:c r="I461"/>
    </x:row>
    <x:row r="462">
      <x:c r="I462"/>
    </x:row>
    <x:row r="463">
      <x:c r="I463"/>
    </x:row>
    <x:row r="464">
      <x:c r="I464"/>
    </x:row>
    <x:row r="465">
      <x:c r="I465"/>
    </x:row>
    <x:row r="466">
      <x:c r="I466"/>
    </x:row>
    <x:row r="467">
      <x:c r="I467"/>
    </x:row>
    <x:row r="468">
      <x:c r="I468"/>
    </x:row>
    <x:row r="469">
      <x:c r="I469"/>
    </x:row>
    <x:row r="470">
      <x:c r="I470"/>
    </x:row>
    <x:row r="471">
      <x:c r="I471"/>
    </x:row>
    <x:row r="472">
      <x:c r="I472"/>
    </x:row>
    <x:row r="473">
      <x:c r="I473"/>
    </x:row>
    <x:row r="474">
      <x:c r="I474"/>
    </x:row>
    <x:row r="475">
      <x:c r="I475"/>
    </x:row>
    <x:row r="476">
      <x:c r="I476"/>
    </x:row>
    <x:row r="477">
      <x:c r="I477"/>
    </x:row>
    <x:row r="478">
      <x:c r="I478"/>
    </x:row>
    <x:row r="479">
      <x:c r="I479"/>
    </x:row>
    <x:row r="480">
      <x:c r="I480"/>
    </x:row>
    <x:row r="481">
      <x:c r="I481"/>
    </x:row>
    <x:row r="482">
      <x:c r="I482"/>
    </x:row>
    <x:row r="483">
      <x:c r="I483"/>
    </x:row>
    <x:row r="484">
      <x:c r="I484"/>
    </x:row>
    <x:row r="485">
      <x:c r="I485"/>
    </x:row>
    <x:row r="486">
      <x:c r="I486"/>
    </x:row>
    <x:row r="487">
      <x:c r="I487"/>
    </x:row>
    <x:row r="488">
      <x:c r="I488"/>
    </x:row>
    <x:row r="489">
      <x:c r="I489"/>
    </x:row>
    <x:row r="490">
      <x:c r="I490"/>
    </x:row>
    <x:row r="491">
      <x:c r="I491"/>
    </x:row>
    <x:row r="492">
      <x:c r="I492"/>
    </x:row>
    <x:row r="493">
      <x:c r="I493"/>
    </x:row>
    <x:row r="494">
      <x:c r="I494"/>
    </x:row>
    <x:row r="495">
      <x:c r="I495"/>
    </x:row>
    <x:row r="496">
      <x:c r="I496"/>
    </x:row>
    <x:row r="497">
      <x:c r="I497"/>
    </x:row>
    <x:row r="498">
      <x:c r="I498"/>
    </x:row>
    <x:row r="499">
      <x:c r="I499"/>
    </x:row>
    <x:row r="500">
      <x:c r="I500"/>
    </x:row>
  </x:sheetData>
  <x:dataValidations count="2">
    <x:dataValidation type="list" sqref="C2:C500">
      <x:formula1>Lookups!$A$2:$A$4</x:formula1>
    </x:dataValidation>
    <x:dataValidation type="list" sqref="E2:E500">
      <x:formula1>Lookups!$B$2:$B$5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2aa8af7f944c1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4" hidden="0" customWidth="1"/>
  </x:cols>
  <x:sheetData>
    <x:row r="1" ht="22" customHeight="1">
      <x:c r="A1" s="22" t="str">
        <x:v>target_date</x:v>
      </x:c>
      <x:c r="B1" s="26" t="str">
        <x:v>steps</x:v>
      </x:c>
      <x:c r="C1" s="20" t="str">
        <x:v>aggregation_start_at</x:v>
      </x:c>
      <x:c r="D1" s="20" t="str">
        <x:v>aggregation_end_at</x:v>
      </x:c>
      <x:c r="E1" s="15" t="str">
        <x:v>overwrite_key</x:v>
      </x:c>
      <x:c r="F1" s="20" t="str">
        <x:v>synced_at</x:v>
      </x:c>
      <x:c r="G1" s="15" t="str">
        <x:v>note</x:v>
      </x:c>
    </x:row>
    <x:row r="2">
      <x:c r="A2" t="n">
        <x:v>46150</x:v>
      </x:c>
      <x:c r="B2" t="n">
        <x:v>10000</x:v>
      </x:c>
      <x:c r="C2" t="n">
        <x:v>46150</x:v>
      </x:c>
      <x:c r="D2" t="n">
        <x:v>46151</x:v>
      </x:c>
      <x:c r="E2" t="str">
        <x:f>TEXT(A2,"yyyy-mm-dd")</x:f>
        <x:v>2026-05-08</x:v>
      </x:c>
      <x:c r="F2" t="str"/>
      <x:c r="G2" t="str">
        <x:v>サンプル行。実運用時は削除可。</x:v>
      </x:c>
    </x:row>
    <x:row r="3">
      <x:c r="E3" t="str">
        <x:f>IF(A3="","",TEXT(A3,"yyyy-mm-dd"))</x:f>
      </x:c>
    </x:row>
    <x:row r="4">
      <x:c r="E4"/>
    </x:row>
    <x:row r="5">
      <x:c r="E5"/>
    </x:row>
    <x:row r="6">
      <x:c r="E6"/>
    </x:row>
    <x:row r="7">
      <x:c r="E7"/>
    </x:row>
    <x:row r="8">
      <x:c r="E8"/>
    </x:row>
    <x:row r="9">
      <x:c r="E9"/>
    </x:row>
    <x:row r="10">
      <x:c r="E10"/>
    </x:row>
    <x:row r="11">
      <x:c r="E11"/>
    </x:row>
    <x:row r="12">
      <x:c r="E12"/>
    </x:row>
    <x:row r="13">
      <x:c r="E13"/>
    </x:row>
    <x:row r="14">
      <x:c r="E14"/>
    </x:row>
    <x:row r="15">
      <x:c r="E15"/>
    </x:row>
    <x:row r="16">
      <x:c r="E16"/>
    </x:row>
    <x:row r="17">
      <x:c r="E17"/>
    </x:row>
    <x:row r="18">
      <x:c r="E18"/>
    </x:row>
    <x:row r="19">
      <x:c r="E19"/>
    </x:row>
    <x:row r="20">
      <x:c r="E20"/>
    </x:row>
    <x:row r="21">
      <x:c r="E21"/>
    </x:row>
    <x:row r="22">
      <x:c r="E22"/>
    </x:row>
    <x:row r="23">
      <x:c r="E23"/>
    </x:row>
    <x:row r="24">
      <x:c r="E24"/>
    </x:row>
    <x:row r="25">
      <x:c r="E25"/>
    </x:row>
    <x:row r="26">
      <x:c r="E26"/>
    </x:row>
    <x:row r="27">
      <x:c r="E27"/>
    </x:row>
    <x:row r="28">
      <x:c r="E28"/>
    </x:row>
    <x:row r="29">
      <x:c r="E29"/>
    </x:row>
    <x:row r="30">
      <x:c r="E30"/>
    </x:row>
    <x:row r="31">
      <x:c r="E31"/>
    </x:row>
    <x:row r="32">
      <x:c r="E32"/>
    </x:row>
    <x:row r="33">
      <x:c r="E33"/>
    </x:row>
    <x:row r="34">
      <x:c r="E34"/>
    </x:row>
    <x:row r="35">
      <x:c r="E35"/>
    </x:row>
    <x:row r="36">
      <x:c r="E36"/>
    </x:row>
    <x:row r="37">
      <x:c r="E37"/>
    </x:row>
    <x:row r="38">
      <x:c r="E38"/>
    </x:row>
    <x:row r="39">
      <x:c r="E39"/>
    </x:row>
    <x:row r="40">
      <x:c r="E40"/>
    </x:row>
    <x:row r="41">
      <x:c r="E41"/>
    </x:row>
    <x:row r="42">
      <x:c r="E42"/>
    </x:row>
    <x:row r="43">
      <x:c r="E43"/>
    </x:row>
    <x:row r="44">
      <x:c r="E44"/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81">
      <x:c r="E81"/>
    </x:row>
    <x:row r="82">
      <x:c r="E82"/>
    </x:row>
    <x:row r="83">
      <x:c r="E83"/>
    </x:row>
    <x:row r="84">
      <x:c r="E84"/>
    </x:row>
    <x:row r="85">
      <x:c r="E85"/>
    </x:row>
    <x:row r="86">
      <x:c r="E86"/>
    </x:row>
    <x:row r="87">
      <x:c r="E87"/>
    </x:row>
    <x:row r="88">
      <x:c r="E88"/>
    </x:row>
    <x:row r="89">
      <x:c r="E89"/>
    </x:row>
    <x:row r="90">
      <x:c r="E90"/>
    </x:row>
    <x:row r="91">
      <x:c r="E91"/>
    </x:row>
    <x:row r="92">
      <x:c r="E92"/>
    </x:row>
    <x:row r="93">
      <x:c r="E93"/>
    </x:row>
    <x:row r="94">
      <x:c r="E94"/>
    </x:row>
    <x:row r="95">
      <x:c r="E95"/>
    </x:row>
    <x:row r="96">
      <x:c r="E96"/>
    </x:row>
    <x:row r="97">
      <x:c r="E97"/>
    </x:row>
    <x:row r="98">
      <x:c r="E98"/>
    </x:row>
    <x:row r="99">
      <x:c r="E99"/>
    </x:row>
    <x:row r="100">
      <x:c r="E100"/>
    </x:row>
    <x:row r="101">
      <x:c r="E101"/>
    </x:row>
    <x:row r="102">
      <x:c r="E102"/>
    </x:row>
    <x:row r="103">
      <x:c r="E103"/>
    </x:row>
    <x:row r="104">
      <x:c r="E104"/>
    </x:row>
    <x:row r="105">
      <x:c r="E105"/>
    </x:row>
    <x:row r="106">
      <x:c r="E106"/>
    </x:row>
    <x:row r="107">
      <x:c r="E107"/>
    </x:row>
    <x:row r="108">
      <x:c r="E108"/>
    </x:row>
    <x:row r="109">
      <x:c r="E109"/>
    </x:row>
    <x:row r="110">
      <x:c r="E110"/>
    </x:row>
    <x:row r="111">
      <x:c r="E111"/>
    </x:row>
    <x:row r="112">
      <x:c r="E112"/>
    </x:row>
    <x:row r="113">
      <x:c r="E113"/>
    </x:row>
    <x:row r="114">
      <x:c r="E114"/>
    </x:row>
    <x:row r="115">
      <x:c r="E115"/>
    </x:row>
    <x:row r="116">
      <x:c r="E116"/>
    </x:row>
    <x:row r="117">
      <x:c r="E117"/>
    </x:row>
    <x:row r="118">
      <x:c r="E118"/>
    </x:row>
    <x:row r="119">
      <x:c r="E119"/>
    </x:row>
    <x:row r="120">
      <x:c r="E120"/>
    </x:row>
    <x:row r="121">
      <x:c r="E121"/>
    </x:row>
    <x:row r="122">
      <x:c r="E122"/>
    </x:row>
    <x:row r="123">
      <x:c r="E123"/>
    </x:row>
    <x:row r="124">
      <x:c r="E124"/>
    </x:row>
    <x:row r="125">
      <x:c r="E125"/>
    </x:row>
    <x:row r="126">
      <x:c r="E126"/>
    </x:row>
    <x:row r="127">
      <x:c r="E127"/>
    </x:row>
    <x:row r="128">
      <x:c r="E128"/>
    </x:row>
    <x:row r="129">
      <x:c r="E129"/>
    </x:row>
    <x:row r="130">
      <x:c r="E130"/>
    </x:row>
    <x:row r="131">
      <x:c r="E131"/>
    </x:row>
    <x:row r="132">
      <x:c r="E132"/>
    </x:row>
    <x:row r="133">
      <x:c r="E133"/>
    </x:row>
    <x:row r="134">
      <x:c r="E134"/>
    </x:row>
    <x:row r="135">
      <x:c r="E135"/>
    </x:row>
    <x:row r="136">
      <x:c r="E136"/>
    </x:row>
    <x:row r="137">
      <x:c r="E137"/>
    </x:row>
    <x:row r="138">
      <x:c r="E138"/>
    </x:row>
    <x:row r="139">
      <x:c r="E139"/>
    </x:row>
    <x:row r="140">
      <x:c r="E140"/>
    </x:row>
    <x:row r="141">
      <x:c r="E141"/>
    </x:row>
    <x:row r="142">
      <x:c r="E142"/>
    </x:row>
    <x:row r="143">
      <x:c r="E143"/>
    </x:row>
    <x:row r="144">
      <x:c r="E144"/>
    </x:row>
    <x:row r="145">
      <x:c r="E145"/>
    </x:row>
    <x:row r="146">
      <x:c r="E146"/>
    </x:row>
    <x:row r="147">
      <x:c r="E147"/>
    </x:row>
    <x:row r="148">
      <x:c r="E148"/>
    </x:row>
    <x:row r="149">
      <x:c r="E149"/>
    </x:row>
    <x:row r="150">
      <x:c r="E150"/>
    </x:row>
    <x:row r="151">
      <x:c r="E151"/>
    </x:row>
    <x:row r="152">
      <x:c r="E152"/>
    </x:row>
    <x:row r="153">
      <x:c r="E153"/>
    </x:row>
    <x:row r="154">
      <x:c r="E154"/>
    </x:row>
    <x:row r="155">
      <x:c r="E155"/>
    </x:row>
    <x:row r="156">
      <x:c r="E156"/>
    </x:row>
    <x:row r="157">
      <x:c r="E157"/>
    </x:row>
    <x:row r="158">
      <x:c r="E158"/>
    </x:row>
    <x:row r="159">
      <x:c r="E159"/>
    </x:row>
    <x:row r="160">
      <x:c r="E160"/>
    </x:row>
    <x:row r="161">
      <x:c r="E161"/>
    </x:row>
    <x:row r="162">
      <x:c r="E162"/>
    </x:row>
    <x:row r="163">
      <x:c r="E163"/>
    </x:row>
    <x:row r="164">
      <x:c r="E164"/>
    </x:row>
    <x:row r="165">
      <x:c r="E165"/>
    </x:row>
    <x:row r="166">
      <x:c r="E166"/>
    </x:row>
    <x:row r="167">
      <x:c r="E167"/>
    </x:row>
    <x:row r="168">
      <x:c r="E168"/>
    </x:row>
    <x:row r="169">
      <x:c r="E169"/>
    </x:row>
    <x:row r="170">
      <x:c r="E170"/>
    </x:row>
    <x:row r="171">
      <x:c r="E171"/>
    </x:row>
    <x:row r="172">
      <x:c r="E172"/>
    </x:row>
    <x:row r="173">
      <x:c r="E173"/>
    </x:row>
    <x:row r="174">
      <x:c r="E174"/>
    </x:row>
    <x:row r="175">
      <x:c r="E175"/>
    </x:row>
    <x:row r="176">
      <x:c r="E176"/>
    </x:row>
    <x:row r="177">
      <x:c r="E177"/>
    </x:row>
    <x:row r="178">
      <x:c r="E178"/>
    </x:row>
    <x:row r="179">
      <x:c r="E179"/>
    </x:row>
    <x:row r="180">
      <x:c r="E180"/>
    </x:row>
    <x:row r="181">
      <x:c r="E181"/>
    </x:row>
    <x:row r="182">
      <x:c r="E182"/>
    </x:row>
    <x:row r="183">
      <x:c r="E183"/>
    </x:row>
    <x:row r="184">
      <x:c r="E184"/>
    </x:row>
    <x:row r="185">
      <x:c r="E185"/>
    </x:row>
    <x:row r="186">
      <x:c r="E186"/>
    </x:row>
    <x:row r="187">
      <x:c r="E187"/>
    </x:row>
    <x:row r="188">
      <x:c r="E188"/>
    </x:row>
    <x:row r="189">
      <x:c r="E189"/>
    </x:row>
    <x:row r="190">
      <x:c r="E190"/>
    </x:row>
    <x:row r="191">
      <x:c r="E191"/>
    </x:row>
    <x:row r="192">
      <x:c r="E192"/>
    </x:row>
    <x:row r="193">
      <x:c r="E193"/>
    </x:row>
    <x:row r="194">
      <x:c r="E194"/>
    </x:row>
    <x:row r="195">
      <x:c r="E195"/>
    </x:row>
    <x:row r="196">
      <x:c r="E196"/>
    </x:row>
    <x:row r="197">
      <x:c r="E197"/>
    </x:row>
    <x:row r="198">
      <x:c r="E198"/>
    </x:row>
    <x:row r="199">
      <x:c r="E199"/>
    </x:row>
    <x:row r="200">
      <x:c r="E200"/>
    </x:row>
    <x:row r="201">
      <x:c r="E201"/>
    </x:row>
    <x:row r="202">
      <x:c r="E202"/>
    </x:row>
    <x:row r="203">
      <x:c r="E203"/>
    </x:row>
    <x:row r="204">
      <x:c r="E204"/>
    </x:row>
    <x:row r="205">
      <x:c r="E205"/>
    </x:row>
    <x:row r="206">
      <x:c r="E206"/>
    </x:row>
    <x:row r="207">
      <x:c r="E207"/>
    </x:row>
    <x:row r="208">
      <x:c r="E208"/>
    </x:row>
    <x:row r="209">
      <x:c r="E209"/>
    </x:row>
    <x:row r="210">
      <x:c r="E210"/>
    </x:row>
    <x:row r="211">
      <x:c r="E211"/>
    </x:row>
    <x:row r="212">
      <x:c r="E212"/>
    </x:row>
    <x:row r="213">
      <x:c r="E213"/>
    </x:row>
    <x:row r="214">
      <x:c r="E214"/>
    </x:row>
    <x:row r="215">
      <x:c r="E215"/>
    </x:row>
    <x:row r="216">
      <x:c r="E216"/>
    </x:row>
    <x:row r="217">
      <x:c r="E217"/>
    </x:row>
    <x:row r="218">
      <x:c r="E218"/>
    </x:row>
    <x:row r="219">
      <x:c r="E219"/>
    </x:row>
    <x:row r="220">
      <x:c r="E220"/>
    </x:row>
    <x:row r="221">
      <x:c r="E221"/>
    </x:row>
    <x:row r="222">
      <x:c r="E222"/>
    </x:row>
    <x:row r="223">
      <x:c r="E223"/>
    </x:row>
    <x:row r="224">
      <x:c r="E224"/>
    </x:row>
    <x:row r="225">
      <x:c r="E225"/>
    </x:row>
    <x:row r="226">
      <x:c r="E226"/>
    </x:row>
    <x:row r="227">
      <x:c r="E227"/>
    </x:row>
    <x:row r="228">
      <x:c r="E228"/>
    </x:row>
    <x:row r="229">
      <x:c r="E229"/>
    </x:row>
    <x:row r="230">
      <x:c r="E230"/>
    </x:row>
    <x:row r="231">
      <x:c r="E231"/>
    </x:row>
    <x:row r="232">
      <x:c r="E232"/>
    </x:row>
    <x:row r="233">
      <x:c r="E233"/>
    </x:row>
    <x:row r="234">
      <x:c r="E234"/>
    </x:row>
    <x:row r="235">
      <x:c r="E235"/>
    </x:row>
    <x:row r="236">
      <x:c r="E236"/>
    </x:row>
    <x:row r="237">
      <x:c r="E237"/>
    </x:row>
    <x:row r="238">
      <x:c r="E238"/>
    </x:row>
    <x:row r="239">
      <x:c r="E239"/>
    </x:row>
    <x:row r="240">
      <x:c r="E240"/>
    </x:row>
    <x:row r="241">
      <x:c r="E241"/>
    </x:row>
    <x:row r="242">
      <x:c r="E242"/>
    </x:row>
    <x:row r="243">
      <x:c r="E243"/>
    </x:row>
    <x:row r="244">
      <x:c r="E244"/>
    </x:row>
    <x:row r="245">
      <x:c r="E245"/>
    </x:row>
    <x:row r="246">
      <x:c r="E246"/>
    </x:row>
    <x:row r="247">
      <x:c r="E247"/>
    </x:row>
    <x:row r="248">
      <x:c r="E248"/>
    </x:row>
    <x:row r="249">
      <x:c r="E249"/>
    </x:row>
    <x:row r="250">
      <x:c r="E250"/>
    </x:row>
    <x:row r="251">
      <x:c r="E251"/>
    </x:row>
    <x:row r="252">
      <x:c r="E252"/>
    </x:row>
    <x:row r="253">
      <x:c r="E253"/>
    </x:row>
    <x:row r="254">
      <x:c r="E254"/>
    </x:row>
    <x:row r="255">
      <x:c r="E255"/>
    </x:row>
    <x:row r="256">
      <x:c r="E256"/>
    </x:row>
    <x:row r="257">
      <x:c r="E257"/>
    </x:row>
    <x:row r="258">
      <x:c r="E258"/>
    </x:row>
    <x:row r="259">
      <x:c r="E259"/>
    </x:row>
    <x:row r="260">
      <x:c r="E260"/>
    </x:row>
    <x:row r="261">
      <x:c r="E261"/>
    </x:row>
    <x:row r="262">
      <x:c r="E262"/>
    </x:row>
    <x:row r="263">
      <x:c r="E263"/>
    </x:row>
    <x:row r="264">
      <x:c r="E264"/>
    </x:row>
    <x:row r="265">
      <x:c r="E265"/>
    </x:row>
    <x:row r="266">
      <x:c r="E266"/>
    </x:row>
    <x:row r="267">
      <x:c r="E267"/>
    </x:row>
    <x:row r="268">
      <x:c r="E268"/>
    </x:row>
    <x:row r="269">
      <x:c r="E269"/>
    </x:row>
    <x:row r="270">
      <x:c r="E270"/>
    </x:row>
    <x:row r="271">
      <x:c r="E271"/>
    </x:row>
    <x:row r="272">
      <x:c r="E272"/>
    </x:row>
    <x:row r="273">
      <x:c r="E273"/>
    </x:row>
    <x:row r="274">
      <x:c r="E274"/>
    </x:row>
    <x:row r="275">
      <x:c r="E275"/>
    </x:row>
    <x:row r="276">
      <x:c r="E276"/>
    </x:row>
    <x:row r="277">
      <x:c r="E277"/>
    </x:row>
    <x:row r="278">
      <x:c r="E278"/>
    </x:row>
    <x:row r="279">
      <x:c r="E279"/>
    </x:row>
    <x:row r="280">
      <x:c r="E280"/>
    </x:row>
    <x:row r="281">
      <x:c r="E281"/>
    </x:row>
    <x:row r="282">
      <x:c r="E282"/>
    </x:row>
    <x:row r="283">
      <x:c r="E283"/>
    </x:row>
    <x:row r="284">
      <x:c r="E284"/>
    </x:row>
    <x:row r="285">
      <x:c r="E285"/>
    </x:row>
    <x:row r="286">
      <x:c r="E286"/>
    </x:row>
    <x:row r="287">
      <x:c r="E287"/>
    </x:row>
    <x:row r="288">
      <x:c r="E288"/>
    </x:row>
    <x:row r="289">
      <x:c r="E289"/>
    </x:row>
    <x:row r="290">
      <x:c r="E290"/>
    </x:row>
    <x:row r="291">
      <x:c r="E291"/>
    </x:row>
    <x:row r="292">
      <x:c r="E292"/>
    </x:row>
    <x:row r="293">
      <x:c r="E293"/>
    </x:row>
    <x:row r="294">
      <x:c r="E294"/>
    </x:row>
    <x:row r="295">
      <x:c r="E295"/>
    </x:row>
    <x:row r="296">
      <x:c r="E296"/>
    </x:row>
    <x:row r="297">
      <x:c r="E297"/>
    </x:row>
    <x:row r="298">
      <x:c r="E298"/>
    </x:row>
    <x:row r="299">
      <x:c r="E299"/>
    </x:row>
    <x:row r="300">
      <x:c r="E300"/>
    </x:row>
    <x:row r="301">
      <x:c r="E301"/>
    </x:row>
    <x:row r="302">
      <x:c r="E302"/>
    </x:row>
    <x:row r="303">
      <x:c r="E303"/>
    </x:row>
    <x:row r="304">
      <x:c r="E304"/>
    </x:row>
    <x:row r="305">
      <x:c r="E305"/>
    </x:row>
    <x:row r="306">
      <x:c r="E306"/>
    </x:row>
    <x:row r="307">
      <x:c r="E307"/>
    </x:row>
    <x:row r="308">
      <x:c r="E308"/>
    </x:row>
    <x:row r="309">
      <x:c r="E309"/>
    </x:row>
    <x:row r="310">
      <x:c r="E310"/>
    </x:row>
    <x:row r="311">
      <x:c r="E311"/>
    </x:row>
    <x:row r="312">
      <x:c r="E312"/>
    </x:row>
    <x:row r="313">
      <x:c r="E313"/>
    </x:row>
    <x:row r="314">
      <x:c r="E314"/>
    </x:row>
    <x:row r="315">
      <x:c r="E315"/>
    </x:row>
    <x:row r="316">
      <x:c r="E316"/>
    </x:row>
    <x:row r="317">
      <x:c r="E317"/>
    </x:row>
    <x:row r="318">
      <x:c r="E318"/>
    </x:row>
    <x:row r="319">
      <x:c r="E319"/>
    </x:row>
    <x:row r="320">
      <x:c r="E320"/>
    </x:row>
    <x:row r="321">
      <x:c r="E321"/>
    </x:row>
    <x:row r="322">
      <x:c r="E322"/>
    </x:row>
    <x:row r="323">
      <x:c r="E323"/>
    </x:row>
    <x:row r="324">
      <x:c r="E324"/>
    </x:row>
    <x:row r="325">
      <x:c r="E325"/>
    </x:row>
    <x:row r="326">
      <x:c r="E326"/>
    </x:row>
    <x:row r="327">
      <x:c r="E327"/>
    </x:row>
    <x:row r="328">
      <x:c r="E328"/>
    </x:row>
    <x:row r="329">
      <x:c r="E329"/>
    </x:row>
    <x:row r="330">
      <x:c r="E330"/>
    </x:row>
    <x:row r="331">
      <x:c r="E331"/>
    </x:row>
    <x:row r="332">
      <x:c r="E332"/>
    </x:row>
    <x:row r="333">
      <x:c r="E333"/>
    </x:row>
    <x:row r="334">
      <x:c r="E334"/>
    </x:row>
    <x:row r="335">
      <x:c r="E335"/>
    </x:row>
    <x:row r="336">
      <x:c r="E336"/>
    </x:row>
    <x:row r="337">
      <x:c r="E337"/>
    </x:row>
    <x:row r="338">
      <x:c r="E338"/>
    </x:row>
    <x:row r="339">
      <x:c r="E339"/>
    </x:row>
    <x:row r="340">
      <x:c r="E340"/>
    </x:row>
    <x:row r="341">
      <x:c r="E341"/>
    </x:row>
    <x:row r="342">
      <x:c r="E342"/>
    </x:row>
    <x:row r="343">
      <x:c r="E343"/>
    </x:row>
    <x:row r="344">
      <x:c r="E344"/>
    </x:row>
    <x:row r="345">
      <x:c r="E345"/>
    </x:row>
    <x:row r="346">
      <x:c r="E346"/>
    </x:row>
    <x:row r="347">
      <x:c r="E347"/>
    </x:row>
    <x:row r="348">
      <x:c r="E348"/>
    </x:row>
    <x:row r="349">
      <x:c r="E349"/>
    </x:row>
    <x:row r="350">
      <x:c r="E350"/>
    </x:row>
    <x:row r="351">
      <x:c r="E351"/>
    </x:row>
    <x:row r="352">
      <x:c r="E352"/>
    </x:row>
    <x:row r="353">
      <x:c r="E353"/>
    </x:row>
    <x:row r="354">
      <x:c r="E354"/>
    </x:row>
    <x:row r="355">
      <x:c r="E355"/>
    </x:row>
    <x:row r="356">
      <x:c r="E356"/>
    </x:row>
    <x:row r="357">
      <x:c r="E357"/>
    </x:row>
    <x:row r="358">
      <x:c r="E358"/>
    </x:row>
    <x:row r="359">
      <x:c r="E359"/>
    </x:row>
    <x:row r="360">
      <x:c r="E360"/>
    </x:row>
    <x:row r="361">
      <x:c r="E361"/>
    </x:row>
    <x:row r="362">
      <x:c r="E362"/>
    </x:row>
    <x:row r="363">
      <x:c r="E363"/>
    </x:row>
    <x:row r="364">
      <x:c r="E364"/>
    </x:row>
    <x:row r="365">
      <x:c r="E365"/>
    </x:row>
    <x:row r="366">
      <x:c r="E366"/>
    </x:row>
    <x:row r="367">
      <x:c r="E367"/>
    </x:row>
    <x:row r="368">
      <x:c r="E368"/>
    </x:row>
    <x:row r="369">
      <x:c r="E369"/>
    </x:row>
    <x:row r="370">
      <x:c r="E370"/>
    </x:row>
    <x:row r="371">
      <x:c r="E371"/>
    </x:row>
    <x:row r="372">
      <x:c r="E372"/>
    </x:row>
    <x:row r="373">
      <x:c r="E373"/>
    </x:row>
    <x:row r="374">
      <x:c r="E374"/>
    </x:row>
    <x:row r="375">
      <x:c r="E375"/>
    </x:row>
    <x:row r="376">
      <x:c r="E376"/>
    </x:row>
    <x:row r="377">
      <x:c r="E377"/>
    </x:row>
    <x:row r="378">
      <x:c r="E378"/>
    </x:row>
    <x:row r="379">
      <x:c r="E379"/>
    </x:row>
    <x:row r="380">
      <x:c r="E380"/>
    </x:row>
    <x:row r="381">
      <x:c r="E381"/>
    </x:row>
    <x:row r="382">
      <x:c r="E382"/>
    </x:row>
    <x:row r="383">
      <x:c r="E383"/>
    </x:row>
    <x:row r="384">
      <x:c r="E384"/>
    </x:row>
    <x:row r="385">
      <x:c r="E385"/>
    </x:row>
    <x:row r="386">
      <x:c r="E386"/>
    </x:row>
    <x:row r="387">
      <x:c r="E387"/>
    </x:row>
    <x:row r="388">
      <x:c r="E388"/>
    </x:row>
    <x:row r="389">
      <x:c r="E389"/>
    </x:row>
    <x:row r="390">
      <x:c r="E390"/>
    </x:row>
    <x:row r="391">
      <x:c r="E391"/>
    </x:row>
    <x:row r="392">
      <x:c r="E392"/>
    </x:row>
    <x:row r="393">
      <x:c r="E393"/>
    </x:row>
    <x:row r="394">
      <x:c r="E394"/>
    </x:row>
    <x:row r="395">
      <x:c r="E395"/>
    </x:row>
    <x:row r="396">
      <x:c r="E396"/>
    </x:row>
    <x:row r="397">
      <x:c r="E397"/>
    </x:row>
    <x:row r="398">
      <x:c r="E398"/>
    </x:row>
    <x:row r="399">
      <x:c r="E399"/>
    </x:row>
    <x:row r="400">
      <x:c r="E400"/>
    </x:row>
    <x:row r="401">
      <x:c r="E401"/>
    </x:row>
    <x:row r="402">
      <x:c r="E402"/>
    </x:row>
    <x:row r="403">
      <x:c r="E403"/>
    </x:row>
    <x:row r="404">
      <x:c r="E404"/>
    </x:row>
    <x:row r="405">
      <x:c r="E405"/>
    </x:row>
    <x:row r="406">
      <x:c r="E406"/>
    </x:row>
    <x:row r="407">
      <x:c r="E407"/>
    </x:row>
    <x:row r="408">
      <x:c r="E408"/>
    </x:row>
    <x:row r="409">
      <x:c r="E409"/>
    </x:row>
    <x:row r="410">
      <x:c r="E410"/>
    </x:row>
    <x:row r="411">
      <x:c r="E411"/>
    </x:row>
    <x:row r="412">
      <x:c r="E412"/>
    </x:row>
    <x:row r="413">
      <x:c r="E413"/>
    </x:row>
    <x:row r="414">
      <x:c r="E414"/>
    </x:row>
    <x:row r="415">
      <x:c r="E415"/>
    </x:row>
    <x:row r="416">
      <x:c r="E416"/>
    </x:row>
    <x:row r="417">
      <x:c r="E417"/>
    </x:row>
    <x:row r="418">
      <x:c r="E418"/>
    </x:row>
    <x:row r="419">
      <x:c r="E419"/>
    </x:row>
    <x:row r="420">
      <x:c r="E420"/>
    </x:row>
    <x:row r="421">
      <x:c r="E421"/>
    </x:row>
    <x:row r="422">
      <x:c r="E422"/>
    </x:row>
    <x:row r="423">
      <x:c r="E423"/>
    </x:row>
    <x:row r="424">
      <x:c r="E424"/>
    </x:row>
    <x:row r="425">
      <x:c r="E425"/>
    </x:row>
    <x:row r="426">
      <x:c r="E426"/>
    </x:row>
    <x:row r="427">
      <x:c r="E427"/>
    </x:row>
    <x:row r="428">
      <x:c r="E428"/>
    </x:row>
    <x:row r="429">
      <x:c r="E429"/>
    </x:row>
    <x:row r="430">
      <x:c r="E430"/>
    </x:row>
    <x:row r="431">
      <x:c r="E431"/>
    </x:row>
    <x:row r="432">
      <x:c r="E432"/>
    </x:row>
    <x:row r="433">
      <x:c r="E433"/>
    </x:row>
    <x:row r="434">
      <x:c r="E434"/>
    </x:row>
    <x:row r="435">
      <x:c r="E435"/>
    </x:row>
    <x:row r="436">
      <x:c r="E436"/>
    </x:row>
    <x:row r="437">
      <x:c r="E437"/>
    </x:row>
    <x:row r="438">
      <x:c r="E438"/>
    </x:row>
    <x:row r="439">
      <x:c r="E439"/>
    </x:row>
    <x:row r="440">
      <x:c r="E440"/>
    </x:row>
    <x:row r="441">
      <x:c r="E441"/>
    </x:row>
    <x:row r="442">
      <x:c r="E442"/>
    </x:row>
    <x:row r="443">
      <x:c r="E443"/>
    </x:row>
    <x:row r="444">
      <x:c r="E444"/>
    </x:row>
    <x:row r="445">
      <x:c r="E445"/>
    </x:row>
    <x:row r="446">
      <x:c r="E446"/>
    </x:row>
    <x:row r="447">
      <x:c r="E447"/>
    </x:row>
    <x:row r="448">
      <x:c r="E448"/>
    </x:row>
    <x:row r="449">
      <x:c r="E449"/>
    </x:row>
    <x:row r="450">
      <x:c r="E450"/>
    </x:row>
    <x:row r="451">
      <x:c r="E451"/>
    </x:row>
    <x:row r="452">
      <x:c r="E452"/>
    </x:row>
    <x:row r="453">
      <x:c r="E453"/>
    </x:row>
    <x:row r="454">
      <x:c r="E454"/>
    </x:row>
    <x:row r="455">
      <x:c r="E455"/>
    </x:row>
    <x:row r="456">
      <x:c r="E456"/>
    </x:row>
    <x:row r="457">
      <x:c r="E457"/>
    </x:row>
    <x:row r="458">
      <x:c r="E458"/>
    </x:row>
    <x:row r="459">
      <x:c r="E459"/>
    </x:row>
    <x:row r="460">
      <x:c r="E460"/>
    </x:row>
    <x:row r="461">
      <x:c r="E461"/>
    </x:row>
    <x:row r="462">
      <x:c r="E462"/>
    </x:row>
    <x:row r="463">
      <x:c r="E463"/>
    </x:row>
    <x:row r="464">
      <x:c r="E464"/>
    </x:row>
    <x:row r="465">
      <x:c r="E465"/>
    </x:row>
    <x:row r="466">
      <x:c r="E466"/>
    </x:row>
    <x:row r="467">
      <x:c r="E467"/>
    </x:row>
    <x:row r="468">
      <x:c r="E468"/>
    </x:row>
    <x:row r="469">
      <x:c r="E469"/>
    </x:row>
    <x:row r="470">
      <x:c r="E470"/>
    </x:row>
    <x:row r="471">
      <x:c r="E471"/>
    </x:row>
    <x:row r="472">
      <x:c r="E472"/>
    </x:row>
    <x:row r="473">
      <x:c r="E473"/>
    </x:row>
    <x:row r="474">
      <x:c r="E474"/>
    </x:row>
    <x:row r="475">
      <x:c r="E475"/>
    </x:row>
    <x:row r="476">
      <x:c r="E476"/>
    </x:row>
    <x:row r="477">
      <x:c r="E477"/>
    </x:row>
    <x:row r="478">
      <x:c r="E478"/>
    </x:row>
    <x:row r="479">
      <x:c r="E479"/>
    </x:row>
    <x:row r="480">
      <x:c r="E480"/>
    </x:row>
    <x:row r="481">
      <x:c r="E481"/>
    </x:row>
    <x:row r="482">
      <x:c r="E482"/>
    </x:row>
    <x:row r="483">
      <x:c r="E483"/>
    </x:row>
    <x:row r="484">
      <x:c r="E484"/>
    </x:row>
    <x:row r="485">
      <x:c r="E485"/>
    </x:row>
    <x:row r="486">
      <x:c r="E486"/>
    </x:row>
    <x:row r="487">
      <x:c r="E487"/>
    </x:row>
    <x:row r="488">
      <x:c r="E488"/>
    </x:row>
    <x:row r="489">
      <x:c r="E489"/>
    </x:row>
    <x:row r="490">
      <x:c r="E490"/>
    </x:row>
    <x:row r="491">
      <x:c r="E491"/>
    </x:row>
    <x:row r="492">
      <x:c r="E492"/>
    </x:row>
    <x:row r="493">
      <x:c r="E493"/>
    </x:row>
    <x:row r="494">
      <x:c r="E494"/>
    </x:row>
    <x:row r="495">
      <x:c r="E495"/>
    </x:row>
    <x:row r="496">
      <x:c r="E496"/>
    </x:row>
    <x:row r="497">
      <x:c r="E497"/>
    </x:row>
    <x:row r="498">
      <x:c r="E498"/>
    </x:row>
    <x:row r="499">
      <x:c r="E499"/>
    </x:row>
    <x:row r="500">
      <x:c r="E500"/>
    </x:row>
  </x:sheetData>
  <x:pageMargins left="0.7" right="0.7" top="0.75" bottom="0.75" header="0.3" footer="0.3"/>
  <x:tableParts count="1">
    <x:tablePart xmlns:r="http://schemas.openxmlformats.org/officeDocument/2006/relationships" r:id="Ra86a931ae58e433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22" hidden="0" customWidth="1"/>
    <x:col min="4" max="4" width="22" hidden="0" customWidth="1"/>
    <x:col min="5" max="5" width="22" hidden="0" customWidth="1"/>
    <x:col min="6" max="6" width="34" hidden="0" customWidth="1"/>
  </x:cols>
  <x:sheetData>
    <x:row r="1" ht="22" customHeight="1">
      <x:c r="A1" s="15" t="str">
        <x:v>source_app_name</x:v>
      </x:c>
      <x:c r="B1" s="15" t="str">
        <x:v>source_package_name</x:v>
      </x:c>
      <x:c r="C1" s="15" t="str">
        <x:v>data_types</x:v>
      </x:c>
      <x:c r="D1" s="20" t="str">
        <x:v>first_seen_at</x:v>
      </x:c>
      <x:c r="E1" s="20" t="str">
        <x:v>last_seen_at</x:v>
      </x:c>
      <x:c r="F1" s="15" t="str">
        <x:v>note</x:v>
      </x:c>
    </x:row>
    <x:row r="2">
      <x:c r="A2" t="str">
        <x:v>OMRON connect</x:v>
      </x:c>
      <x:c r="B2" t="str">
        <x:v>jp.co.omron.healthcare.omron_connect</x:v>
      </x:c>
      <x:c r="C2" t="str">
        <x:v>weight</x:v>
      </x:c>
      <x:c r="D2" t="str"/>
      <x:c r="E2" t="str"/>
      <x:c r="F2" t="str">
        <x:v>実データ取得後に自動更新対象</x:v>
      </x:c>
    </x:row>
  </x:sheetData>
  <x:pageMargins left="0.7" right="0.7" top="0.75" bottom="0.75" header="0.3" footer="0.3"/>
  <x:tableParts count="1">
    <x:tablePart xmlns:r="http://schemas.openxmlformats.org/officeDocument/2006/relationships" r:id="R3bb5fea21f2c4c1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52" hidden="0" customWidth="1"/>
    <x:col min="4" max="4" width="52" hidden="0" customWidth="1"/>
  </x:cols>
  <x:sheetData>
    <x:row r="1" ht="22" customHeight="1">
      <x:c r="A1" s="20" t="str">
        <x:v>logged_at</x:v>
      </x:c>
      <x:c r="B1" s="15" t="str">
        <x:v>level</x:v>
      </x:c>
      <x:c r="C1" s="28" t="str">
        <x:v>message</x:v>
      </x:c>
      <x:c r="D1" s="28" t="str">
        <x:v>context</x:v>
      </x:c>
    </x:row>
    <x:row r="2">
      <x:c r="A2" t="n">
        <x:v>46150</x:v>
      </x:c>
      <x:c r="B2" t="str">
        <x:v>info</x:v>
      </x:c>
      <x:c r="C2" t="str">
        <x:v>Health Connect SDK status / permission / read rangeなどを保存</x:v>
      </x:c>
      <x:c r="D2" t="str">
        <x:v>サンプル</x:v>
      </x:c>
    </x:row>
  </x:sheetData>
  <x:dataValidations count="1">
    <x:dataValidation type="list" sqref="B2:B500">
      <x:formula1>Lookups!$D$2:$D$5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264a20edcc430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</x:cols>
  <x:sheetData>
    <x:row r="1" ht="22" customHeight="1">
      <x:c r="A1" s="28" t="str">
        <x:v>sheet</x:v>
      </x:c>
      <x:c r="B1" s="28" t="str">
        <x:v>column_name</x:v>
      </x:c>
      <x:c r="C1" s="28" t="str">
        <x:v>source_data_class</x:v>
      </x:c>
      <x:c r="D1" s="28" t="str">
        <x:v>source_field_or_logic</x:v>
      </x:c>
      <x:c r="E1" s="28" t="str">
        <x:v>type</x:v>
      </x:c>
      <x:c r="F1" s="28" t="str">
        <x:v>required</x:v>
      </x:c>
      <x:c r="G1" s="28" t="str">
        <x:v>note</x:v>
      </x:c>
    </x:row>
    <x:row r="2">
      <x:c r="A2" t="str">
        <x:v>WeightRecords</x:v>
      </x:c>
      <x:c r="B2" t="str">
        <x:v>measured_at</x:v>
      </x:c>
      <x:c r="C2" t="str">
        <x:v>DebugWeightRecord</x:v>
      </x:c>
      <x:c r="D2" t="str">
        <x:v>measuredAt</x:v>
      </x:c>
      <x:c r="E2" t="str">
        <x:v>datetime</x:v>
      </x:c>
      <x:c r="F2" t="str">
        <x:v>yes</x:v>
      </x:c>
      <x:c r="G2" t="str">
        <x:v>Health Connect record.time -&gt; LocalDateTime</x:v>
      </x:c>
    </x:row>
    <x:row r="3">
      <x:c r="A3" t="str">
        <x:v>WeightRecords</x:v>
      </x:c>
      <x:c r="B3" t="str">
        <x:v>target_date</x:v>
      </x:c>
      <x:c r="C3" t="str">
        <x:v>DebugWeightRecord</x:v>
      </x:c>
      <x:c r="D3" t="str">
        <x:v>targetDate</x:v>
      </x:c>
      <x:c r="E3" t="str">
        <x:v>date</x:v>
      </x:c>
      <x:c r="F3" t="str">
        <x:v>yes</x:v>
      </x:c>
      <x:c r="G3" t="str">
        <x:v>measuredAt.toLocalDate()</x:v>
      </x:c>
    </x:row>
    <x:row r="4">
      <x:c r="A4" t="str">
        <x:v>WeightRecords</x:v>
      </x:c>
      <x:c r="B4" t="str">
        <x:v>time_band</x:v>
      </x:c>
      <x:c r="C4" t="str">
        <x:v>DebugWeightRecord</x:v>
      </x:c>
      <x:c r="D4" t="str">
        <x:v>timeBand</x:v>
      </x:c>
      <x:c r="E4" t="str">
        <x:v>text</x:v>
      </x:c>
      <x:c r="F4" t="str">
        <x:v>yes</x:v>
      </x:c>
      <x:c r="G4" t="str">
        <x:v>朝 / 昼 / 夜</x:v>
      </x:c>
    </x:row>
    <x:row r="5">
      <x:c r="A5" t="str">
        <x:v>WeightRecords</x:v>
      </x:c>
      <x:c r="B5" t="str">
        <x:v>weight_kg</x:v>
      </x:c>
      <x:c r="C5" t="str">
        <x:v>DebugWeightRecord</x:v>
      </x:c>
      <x:c r="D5" t="str">
        <x:v>weightKg</x:v>
      </x:c>
      <x:c r="E5" t="str">
        <x:v>number</x:v>
      </x:c>
      <x:c r="F5" t="str">
        <x:v>yes</x:v>
      </x:c>
      <x:c r="G5" t="str">
        <x:v>kg</x:v>
      </x:c>
    </x:row>
    <x:row r="6">
      <x:c r="A6" t="str">
        <x:v>WeightRecords</x:v>
      </x:c>
      <x:c r="B6" t="str">
        <x:v>health_connect_id</x:v>
      </x:c>
      <x:c r="C6" t="str">
        <x:v>DebugWeightRecord</x:v>
      </x:c>
      <x:c r="D6" t="str">
        <x:v>healthConnectId</x:v>
      </x:c>
      <x:c r="E6" t="str">
        <x:v>text</x:v>
      </x:c>
      <x:c r="F6" t="str">
        <x:v>debug</x:v>
      </x:c>
      <x:c r="G6" t="str">
        <x:v>metadata.id</x:v>
      </x:c>
    </x:row>
    <x:row r="7">
      <x:c r="A7" t="str">
        <x:v>WeightRecords</x:v>
      </x:c>
      <x:c r="B7" t="str">
        <x:v>source_app_name</x:v>
      </x:c>
      <x:c r="C7" t="str">
        <x:v>DebugWeightRecord</x:v>
      </x:c>
      <x:c r="D7" t="str">
        <x:v>sourceAppName</x:v>
      </x:c>
      <x:c r="E7" t="str">
        <x:v>text</x:v>
      </x:c>
      <x:c r="F7" t="str">
        <x:v>debug</x:v>
      </x:c>
      <x:c r="G7" t="str">
        <x:v>package label</x:v>
      </x:c>
    </x:row>
    <x:row r="8">
      <x:c r="A8" t="str">
        <x:v>WeightRecords</x:v>
      </x:c>
      <x:c r="B8" t="str">
        <x:v>source_package_name</x:v>
      </x:c>
      <x:c r="C8" t="str">
        <x:v>DebugWeightRecord</x:v>
      </x:c>
      <x:c r="D8" t="str">
        <x:v>sourcePackageName</x:v>
      </x:c>
      <x:c r="E8" t="str">
        <x:v>text</x:v>
      </x:c>
      <x:c r="F8" t="str">
        <x:v>debug</x:v>
      </x:c>
      <x:c r="G8" t="str">
        <x:v>metadata.dataOrigin.packageName</x:v>
      </x:c>
    </x:row>
    <x:row r="9">
      <x:c r="A9" t="str">
        <x:v>GlucoseRecords</x:v>
      </x:c>
      <x:c r="B9" t="str">
        <x:v>measured_at</x:v>
      </x:c>
      <x:c r="C9" t="str">
        <x:v>DebugGlucoseRecord</x:v>
      </x:c>
      <x:c r="D9" t="str">
        <x:v>measuredAt</x:v>
      </x:c>
      <x:c r="E9" t="str">
        <x:v>datetime</x:v>
      </x:c>
      <x:c r="F9" t="str">
        <x:v>yes</x:v>
      </x:c>
      <x:c r="G9" t="str">
        <x:v>Health Connect record.time -&gt; LocalDateTime</x:v>
      </x:c>
    </x:row>
    <x:row r="10">
      <x:c r="A10" t="str">
        <x:v>GlucoseRecords</x:v>
      </x:c>
      <x:c r="B10" t="str">
        <x:v>target_date</x:v>
      </x:c>
      <x:c r="C10" t="str">
        <x:v>DebugGlucoseRecord</x:v>
      </x:c>
      <x:c r="D10" t="str">
        <x:v>targetDate</x:v>
      </x:c>
      <x:c r="E10" t="str">
        <x:v>date</x:v>
      </x:c>
      <x:c r="F10" t="str">
        <x:v>yes</x:v>
      </x:c>
      <x:c r="G10" t="str">
        <x:v>measuredAt.toLocalDate()</x:v>
      </x:c>
    </x:row>
    <x:row r="11">
      <x:c r="A11" t="str">
        <x:v>GlucoseRecords</x:v>
      </x:c>
      <x:c r="B11" t="str">
        <x:v>time_band</x:v>
      </x:c>
      <x:c r="C11" t="str">
        <x:v>DebugGlucoseRecord</x:v>
      </x:c>
      <x:c r="D11" t="str">
        <x:v>timeBand</x:v>
      </x:c>
      <x:c r="E11" t="str">
        <x:v>text</x:v>
      </x:c>
      <x:c r="F11" t="str">
        <x:v>yes</x:v>
      </x:c>
      <x:c r="G11" t="str">
        <x:v>朝 / 昼 / 夜</x:v>
      </x:c>
    </x:row>
    <x:row r="12">
      <x:c r="A12" t="str">
        <x:v>GlucoseRecords</x:v>
      </x:c>
      <x:c r="B12" t="str">
        <x:v>blood_glucose_mg_dl</x:v>
      </x:c>
      <x:c r="C12" t="str">
        <x:v>DebugGlucoseRecord</x:v>
      </x:c>
      <x:c r="D12" t="str">
        <x:v>bloodGlucoseMgDl</x:v>
      </x:c>
      <x:c r="E12" t="str">
        <x:v>number</x:v>
      </x:c>
      <x:c r="F12" t="str">
        <x:v>yes</x:v>
      </x:c>
      <x:c r="G12" t="str">
        <x:v>mg/dL</x:v>
      </x:c>
    </x:row>
    <x:row r="13">
      <x:c r="A13" t="str">
        <x:v>GlucoseRecords</x:v>
      </x:c>
      <x:c r="B13" t="str">
        <x:v>meal_relation</x:v>
      </x:c>
      <x:c r="C13" t="str">
        <x:v>DebugGlucoseRecord</x:v>
      </x:c>
      <x:c r="D13" t="str">
        <x:v>mealRelation</x:v>
      </x:c>
      <x:c r="E13" t="str">
        <x:v>text</x:v>
      </x:c>
      <x:c r="F13" t="str">
        <x:v>yes</x:v>
      </x:c>
      <x:c r="G13" t="str">
        <x:v>通常 / 空腹時 / 食前 / 食後</x:v>
      </x:c>
    </x:row>
    <x:row r="14">
      <x:c r="A14" t="str">
        <x:v>GlucoseRecords</x:v>
      </x:c>
      <x:c r="B14" t="str">
        <x:v>health_connect_id</x:v>
      </x:c>
      <x:c r="C14" t="str">
        <x:v>DebugGlucoseRecord</x:v>
      </x:c>
      <x:c r="D14" t="str">
        <x:v>healthConnectId</x:v>
      </x:c>
      <x:c r="E14" t="str">
        <x:v>text</x:v>
      </x:c>
      <x:c r="F14" t="str">
        <x:v>debug</x:v>
      </x:c>
      <x:c r="G14" t="str">
        <x:v>metadata.id</x:v>
      </x:c>
    </x:row>
    <x:row r="15">
      <x:c r="A15" t="str">
        <x:v>GlucoseRecords</x:v>
      </x:c>
      <x:c r="B15" t="str">
        <x:v>source_app_name</x:v>
      </x:c>
      <x:c r="C15" t="str">
        <x:v>DebugGlucoseRecord</x:v>
      </x:c>
      <x:c r="D15" t="str">
        <x:v>sourceAppName</x:v>
      </x:c>
      <x:c r="E15" t="str">
        <x:v>text</x:v>
      </x:c>
      <x:c r="F15" t="str">
        <x:v>debug</x:v>
      </x:c>
      <x:c r="G15" t="str">
        <x:v>package label</x:v>
      </x:c>
    </x:row>
    <x:row r="16">
      <x:c r="A16" t="str">
        <x:v>GlucoseRecords</x:v>
      </x:c>
      <x:c r="B16" t="str">
        <x:v>source_package_name</x:v>
      </x:c>
      <x:c r="C16" t="str">
        <x:v>DebugGlucoseRecord</x:v>
      </x:c>
      <x:c r="D16" t="str">
        <x:v>sourcePackageName</x:v>
      </x:c>
      <x:c r="E16" t="str">
        <x:v>text</x:v>
      </x:c>
      <x:c r="F16" t="str">
        <x:v>debug</x:v>
      </x:c>
      <x:c r="G16" t="str">
        <x:v>metadata.dataOrigin.packageName</x:v>
      </x:c>
    </x:row>
    <x:row r="17">
      <x:c r="A17" t="str">
        <x:v>StepDaily</x:v>
      </x:c>
      <x:c r="B17" t="str">
        <x:v>target_date</x:v>
      </x:c>
      <x:c r="C17" t="str">
        <x:v>DebugStepDaily</x:v>
      </x:c>
      <x:c r="D17" t="str">
        <x:v>targetDate</x:v>
      </x:c>
      <x:c r="E17" t="str">
        <x:v>date</x:v>
      </x:c>
      <x:c r="F17" t="str">
        <x:v>yes</x:v>
      </x:c>
      <x:c r="G17" t="str">
        <x:v>日次集計キー</x:v>
      </x:c>
    </x:row>
    <x:row r="18">
      <x:c r="A18" t="str">
        <x:v>StepDaily</x:v>
      </x:c>
      <x:c r="B18" t="str">
        <x:v>steps</x:v>
      </x:c>
      <x:c r="C18" t="str">
        <x:v>DebugStepDaily</x:v>
      </x:c>
      <x:c r="D18" t="str">
        <x:v>steps</x:v>
      </x:c>
      <x:c r="E18" t="str">
        <x:v>integer</x:v>
      </x:c>
      <x:c r="F18" t="str">
        <x:v>yes</x:v>
      </x:c>
      <x:c r="G18" t="str">
        <x:v>StepsRecord.COUNT_TOTAL</x:v>
      </x:c>
    </x:row>
    <x:row r="19">
      <x:c r="A19" t="str">
        <x:v>StepDaily</x:v>
      </x:c>
      <x:c r="B19" t="str">
        <x:v>aggregation_start_at</x:v>
      </x:c>
      <x:c r="C19" t="str">
        <x:v>DebugStepDaily</x:v>
      </x:c>
      <x:c r="D19" t="str">
        <x:v>aggregationStartAt</x:v>
      </x:c>
      <x:c r="E19" t="str">
        <x:v>datetime</x:v>
      </x:c>
      <x:c r="F19" t="str">
        <x:v>debug</x:v>
      </x:c>
      <x:c r="G19" t="str">
        <x:v>集計開始</x:v>
      </x:c>
    </x:row>
    <x:row r="20">
      <x:c r="A20" t="str">
        <x:v>StepDaily</x:v>
      </x:c>
      <x:c r="B20" t="str">
        <x:v>aggregation_end_at</x:v>
      </x:c>
      <x:c r="C20" t="str">
        <x:v>DebugStepDaily</x:v>
      </x:c>
      <x:c r="D20" t="str">
        <x:v>aggregationEndAt</x:v>
      </x:c>
      <x:c r="E20" t="str">
        <x:v>datetime</x:v>
      </x:c>
      <x:c r="F20" t="str">
        <x:v>debug</x:v>
      </x:c>
      <x:c r="G20" t="str">
        <x:v>集計終了</x:v>
      </x:c>
    </x:row>
    <x:row r="21">
      <x:c r="A21" t="str">
        <x:v>DailySummary</x:v>
      </x:c>
      <x:c r="B21" t="str">
        <x:v>target_date</x:v>
      </x:c>
      <x:c r="C21" t="str">
        <x:v>aggregation</x:v>
      </x:c>
      <x:c r="D21" t="str">
        <x:v>日付キー</x:v>
      </x:c>
      <x:c r="E21" t="str">
        <x:v>date</x:v>
      </x:c>
      <x:c r="F21" t="str">
        <x:v>yes</x:v>
      </x:c>
      <x:c r="G21" t="str">
        <x:v>対象日単位の参照行</x:v>
      </x:c>
    </x:row>
  </x:sheetData>
  <x:pageMargins left="0.7" right="0.7" top="0.75" bottom="0.75" header="0.3" footer="0.3"/>
  <x:tableParts count="1">
    <x:tablePart xmlns:r="http://schemas.openxmlformats.org/officeDocument/2006/relationships" r:id="R0a3db9640f484d9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2" customHeight="1">
      <x:c r="A1" s="15" t="str">
        <x:v>time_band</x:v>
      </x:c>
      <x:c r="B1" s="15" t="str">
        <x:v>meal_relation</x:v>
      </x:c>
      <x:c r="C1" s="15" t="str">
        <x:v>data_type</x:v>
      </x:c>
      <x:c r="D1" s="15" t="str">
        <x:v>log_level</x:v>
      </x:c>
    </x:row>
    <x:row r="2">
      <x:c r="A2" t="str">
        <x:v>朝</x:v>
      </x:c>
      <x:c r="B2" t="str">
        <x:v>通常</x:v>
      </x:c>
      <x:c r="C2" t="str">
        <x:v>weight</x:v>
      </x:c>
      <x:c r="D2" t="str">
        <x:v>info</x:v>
      </x:c>
    </x:row>
    <x:row r="3">
      <x:c r="A3" t="str">
        <x:v>昼</x:v>
      </x:c>
      <x:c r="B3" t="str">
        <x:v>空腹時</x:v>
      </x:c>
      <x:c r="C3" t="str">
        <x:v>blood_glucose</x:v>
      </x:c>
      <x:c r="D3" t="str">
        <x:v>warning</x:v>
      </x:c>
    </x:row>
    <x:row r="4">
      <x:c r="A4" t="str">
        <x:v>夜</x:v>
      </x:c>
      <x:c r="B4" t="str">
        <x:v>食前</x:v>
      </x:c>
      <x:c r="C4" t="str">
        <x:v>steps</x:v>
      </x:c>
      <x:c r="D4" t="str">
        <x:v>error</x:v>
      </x:c>
    </x:row>
    <x:row r="5">
      <x:c r="B5" t="str">
        <x:v>食後</x:v>
      </x:c>
      <x:c r="D5" t="str">
        <x:v>debug</x:v>
      </x:c>
    </x:row>
  </x:sheetData>
  <x:pageMargins left="0.7" right="0.7" top="0.75" bottom="0.75" header="0.3" footer="0.3"/>
</x:worksheet>
</file>